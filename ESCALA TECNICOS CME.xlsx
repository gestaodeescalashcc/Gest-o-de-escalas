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2eb7ba56c1be47/Área de Trabalho/ESCALAS HECC/"/>
    </mc:Choice>
  </mc:AlternateContent>
  <xr:revisionPtr revIDLastSave="1" documentId="13_ncr:1_{D220A8C0-9509-4D69-BE24-0C7AEFBB113B}" xr6:coauthVersionLast="47" xr6:coauthVersionMax="47" xr10:uidLastSave="{014F7096-88A4-4E1E-81CB-C4F77A60902E}"/>
  <bookViews>
    <workbookView xWindow="-108" yWindow="-108" windowWidth="23256" windowHeight="12456" activeTab="4" xr2:uid="{00000000-000D-0000-FFFF-FFFF00000000}"/>
  </bookViews>
  <sheets>
    <sheet name="CME JAN" sheetId="5" r:id="rId1"/>
    <sheet name="CME FEV" sheetId="4" r:id="rId2"/>
    <sheet name="CME MARÇO" sheetId="6" r:id="rId3"/>
    <sheet name="CME ABRIL" sheetId="7" r:id="rId4"/>
    <sheet name="CME MAIO" sheetId="8" r:id="rId5"/>
  </sheets>
  <calcPr calcId="191029"/>
</workbook>
</file>

<file path=xl/calcChain.xml><?xml version="1.0" encoding="utf-8"?>
<calcChain xmlns="http://schemas.openxmlformats.org/spreadsheetml/2006/main">
  <c r="H5" i="8" l="1" a="1"/>
  <c r="H5" i="8" s="1"/>
  <c r="H4" i="8" a="1"/>
  <c r="H4" i="8" s="1"/>
  <c r="K3" i="8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H5" i="7" a="1"/>
  <c r="H5" i="7" s="1"/>
  <c r="H4" i="7" a="1"/>
  <c r="H4" i="7" s="1"/>
  <c r="K3" i="7"/>
  <c r="K4" i="6"/>
  <c r="L3" i="7" l="1"/>
  <c r="AN6" i="6"/>
  <c r="H6" i="6" a="1"/>
  <c r="H6" i="6" s="1"/>
  <c r="AN5" i="6"/>
  <c r="H5" i="6" a="1"/>
  <c r="H5" i="6" s="1"/>
  <c r="J3" i="6"/>
  <c r="I3" i="6"/>
  <c r="AM7" i="5"/>
  <c r="G7" i="5" a="1"/>
  <c r="G7" i="5" s="1"/>
  <c r="AM6" i="5"/>
  <c r="G6" i="5" a="1"/>
  <c r="G6" i="5" s="1"/>
  <c r="AM5" i="5"/>
  <c r="G5" i="5" a="1"/>
  <c r="G5" i="5" s="1"/>
  <c r="I4" i="5"/>
  <c r="J4" i="5" s="1"/>
  <c r="I3" i="5"/>
  <c r="H3" i="5"/>
  <c r="M3" i="7" l="1"/>
  <c r="L4" i="6"/>
  <c r="K3" i="6"/>
  <c r="J3" i="5"/>
  <c r="K4" i="5"/>
  <c r="N3" i="7" l="1"/>
  <c r="L3" i="6"/>
  <c r="M4" i="6"/>
  <c r="K3" i="5"/>
  <c r="L4" i="5"/>
  <c r="O3" i="7" l="1"/>
  <c r="M3" i="6"/>
  <c r="N4" i="6"/>
  <c r="L3" i="5"/>
  <c r="M4" i="5"/>
  <c r="P3" i="7" l="1"/>
  <c r="O4" i="6"/>
  <c r="N3" i="6"/>
  <c r="M3" i="5"/>
  <c r="N4" i="5"/>
  <c r="Q3" i="7" l="1"/>
  <c r="P4" i="6"/>
  <c r="O3" i="6"/>
  <c r="N3" i="5"/>
  <c r="O4" i="5"/>
  <c r="R3" i="7" l="1"/>
  <c r="P3" i="6"/>
  <c r="Q4" i="6"/>
  <c r="O3" i="5"/>
  <c r="P4" i="5"/>
  <c r="S3" i="7" l="1"/>
  <c r="Q3" i="6"/>
  <c r="R4" i="6"/>
  <c r="P3" i="5"/>
  <c r="Q4" i="5"/>
  <c r="T3" i="7" l="1"/>
  <c r="S4" i="6"/>
  <c r="R3" i="6"/>
  <c r="R4" i="5"/>
  <c r="Q3" i="5"/>
  <c r="U3" i="7" l="1"/>
  <c r="T4" i="6"/>
  <c r="S3" i="6"/>
  <c r="S4" i="5"/>
  <c r="R3" i="5"/>
  <c r="V3" i="7" l="1"/>
  <c r="T3" i="6"/>
  <c r="U4" i="6"/>
  <c r="T4" i="5"/>
  <c r="S3" i="5"/>
  <c r="W3" i="7" l="1"/>
  <c r="U3" i="6"/>
  <c r="V4" i="6"/>
  <c r="U4" i="5"/>
  <c r="T3" i="5"/>
  <c r="X3" i="7" l="1"/>
  <c r="W4" i="6"/>
  <c r="V3" i="6"/>
  <c r="V4" i="5"/>
  <c r="U3" i="5"/>
  <c r="Y3" i="7" l="1"/>
  <c r="X4" i="6"/>
  <c r="W3" i="6"/>
  <c r="V3" i="5"/>
  <c r="W4" i="5"/>
  <c r="Z3" i="7" l="1"/>
  <c r="X3" i="6"/>
  <c r="Y4" i="6"/>
  <c r="W3" i="5"/>
  <c r="X4" i="5"/>
  <c r="AA3" i="7" l="1"/>
  <c r="Y3" i="6"/>
  <c r="Z4" i="6"/>
  <c r="X3" i="5"/>
  <c r="Y4" i="5"/>
  <c r="AB3" i="7" l="1"/>
  <c r="AA4" i="6"/>
  <c r="Z3" i="6"/>
  <c r="Y3" i="5"/>
  <c r="Z4" i="5"/>
  <c r="AC3" i="7" l="1"/>
  <c r="AB4" i="6"/>
  <c r="AA3" i="6"/>
  <c r="Z3" i="5"/>
  <c r="AA4" i="5"/>
  <c r="AD3" i="7" l="1"/>
  <c r="AB3" i="6"/>
  <c r="AC4" i="6"/>
  <c r="AA3" i="5"/>
  <c r="AB4" i="5"/>
  <c r="AE3" i="7" l="1"/>
  <c r="AC3" i="6"/>
  <c r="AD4" i="6"/>
  <c r="AB3" i="5"/>
  <c r="AC4" i="5"/>
  <c r="AF3" i="7" l="1"/>
  <c r="AE4" i="6"/>
  <c r="AD3" i="6"/>
  <c r="AD4" i="5"/>
  <c r="AC3" i="5"/>
  <c r="AG3" i="7" l="1"/>
  <c r="AF4" i="6"/>
  <c r="AE3" i="6"/>
  <c r="AE4" i="5"/>
  <c r="AD3" i="5"/>
  <c r="AH3" i="7" l="1"/>
  <c r="AF3" i="6"/>
  <c r="AG4" i="6"/>
  <c r="AF4" i="5"/>
  <c r="AE3" i="5"/>
  <c r="AI3" i="7" l="1"/>
  <c r="AG3" i="6"/>
  <c r="AH4" i="6"/>
  <c r="AG4" i="5"/>
  <c r="AF3" i="5"/>
  <c r="AJ3" i="7" l="1"/>
  <c r="AI4" i="6"/>
  <c r="AH3" i="6"/>
  <c r="AH4" i="5"/>
  <c r="AG3" i="5"/>
  <c r="AJ4" i="6" l="1"/>
  <c r="AI3" i="6"/>
  <c r="AH3" i="5"/>
  <c r="AI4" i="5"/>
  <c r="AJ3" i="6" l="1"/>
  <c r="AI3" i="5"/>
  <c r="AJ4" i="5"/>
  <c r="AJ3" i="5" l="1"/>
  <c r="AK4" i="5"/>
  <c r="AK3" i="5" l="1"/>
  <c r="AL4" i="5"/>
  <c r="AL3" i="5" s="1"/>
  <c r="G5" i="4" l="1" a="1"/>
  <c r="G5" i="4" s="1"/>
  <c r="AK5" i="4"/>
  <c r="AK6" i="4"/>
  <c r="G6" i="4" a="1"/>
  <c r="G6" i="4" s="1"/>
  <c r="I4" i="4" l="1"/>
  <c r="J4" i="4" s="1"/>
  <c r="J3" i="4" s="1"/>
  <c r="H3" i="4"/>
  <c r="I3" i="4" l="1"/>
  <c r="K4" i="4"/>
  <c r="K3" i="4" l="1"/>
  <c r="L4" i="4"/>
  <c r="L3" i="4" l="1"/>
  <c r="M4" i="4"/>
  <c r="N4" i="4" l="1"/>
  <c r="M3" i="4"/>
  <c r="O4" i="4" l="1"/>
  <c r="N3" i="4"/>
  <c r="O3" i="4" l="1"/>
  <c r="P4" i="4"/>
  <c r="P3" i="4" l="1"/>
  <c r="Q4" i="4"/>
  <c r="R4" i="4" l="1"/>
  <c r="Q3" i="4"/>
  <c r="S4" i="4" l="1"/>
  <c r="R3" i="4"/>
  <c r="S3" i="4" l="1"/>
  <c r="T4" i="4"/>
  <c r="T3" i="4" l="1"/>
  <c r="U4" i="4"/>
  <c r="V4" i="4" l="1"/>
  <c r="U3" i="4"/>
  <c r="V3" i="4" l="1"/>
  <c r="W4" i="4"/>
  <c r="W3" i="4" l="1"/>
  <c r="X4" i="4"/>
  <c r="X3" i="4" l="1"/>
  <c r="Y4" i="4"/>
  <c r="Z4" i="4" l="1"/>
  <c r="Y3" i="4"/>
  <c r="Z3" i="4" l="1"/>
  <c r="AA4" i="4"/>
  <c r="AA3" i="4" l="1"/>
  <c r="AB4" i="4"/>
  <c r="AB3" i="4" l="1"/>
  <c r="AC4" i="4"/>
  <c r="AD4" i="4" l="1"/>
  <c r="AC3" i="4"/>
  <c r="AD3" i="4" l="1"/>
  <c r="AE4" i="4"/>
  <c r="AE3" i="4" l="1"/>
  <c r="AF4" i="4"/>
  <c r="AF3" i="4" l="1"/>
  <c r="AG4" i="4"/>
  <c r="AH4" i="4" l="1"/>
  <c r="AG3" i="4"/>
  <c r="AH3" i="4" l="1"/>
  <c r="AI4" i="4"/>
  <c r="AI3" i="4" l="1"/>
  <c r="AJ4" i="4"/>
  <c r="AJ3" i="4" l="1"/>
</calcChain>
</file>

<file path=xl/sharedStrings.xml><?xml version="1.0" encoding="utf-8"?>
<sst xmlns="http://schemas.openxmlformats.org/spreadsheetml/2006/main" count="266" uniqueCount="35">
  <si>
    <t>ASSINATURA/CARIMBO - CHEFE IMEDIATO</t>
  </si>
  <si>
    <t>ASSINATURA/CARIMBO -  DIRETOR</t>
  </si>
  <si>
    <t>HORAS</t>
  </si>
  <si>
    <t>PATRÍCIA LAPA SANTANA</t>
  </si>
  <si>
    <t>VIVIANE DE JESUS FERREIRA SOUZA</t>
  </si>
  <si>
    <t>ADRIANA SANTOS BARRETO</t>
  </si>
  <si>
    <t>FUNÇÃO</t>
  </si>
  <si>
    <t>LOTAÇÃO</t>
  </si>
  <si>
    <t>CH</t>
  </si>
  <si>
    <t>SD</t>
  </si>
  <si>
    <t>DIAS TRAB.</t>
  </si>
  <si>
    <t>SETOR:</t>
  </si>
  <si>
    <t>UNIDADE DE INTERNAÇÃO</t>
  </si>
  <si>
    <t>D I A S</t>
  </si>
  <si>
    <t>D A    S E M A N A</t>
  </si>
  <si>
    <t>TOTAL</t>
  </si>
  <si>
    <t>MATRICULA</t>
  </si>
  <si>
    <t>TÉCNICO DE ENFERMAGEM</t>
  </si>
  <si>
    <r>
      <rPr>
        <b/>
        <sz val="9"/>
        <rFont val="Calibri"/>
        <family val="2"/>
      </rPr>
      <t xml:space="preserve">SD </t>
    </r>
    <r>
      <rPr>
        <sz val="9"/>
        <rFont val="Calibri"/>
        <family val="2"/>
      </rPr>
      <t xml:space="preserve">-  </t>
    </r>
    <r>
      <rPr>
        <b/>
        <sz val="9"/>
        <rFont val="Calibri"/>
        <family val="2"/>
      </rPr>
      <t>S</t>
    </r>
    <r>
      <rPr>
        <sz val="9"/>
        <rFont val="Calibri"/>
        <family val="2"/>
      </rPr>
      <t xml:space="preserve">ERVIÇO </t>
    </r>
    <r>
      <rPr>
        <b/>
        <sz val="9"/>
        <rFont val="Calibri"/>
        <family val="2"/>
      </rPr>
      <t>D</t>
    </r>
    <r>
      <rPr>
        <sz val="9"/>
        <rFont val="Calibri"/>
        <family val="2"/>
      </rPr>
      <t xml:space="preserve">IURNO (07:00h às 19:00h)  </t>
    </r>
    <r>
      <rPr>
        <b/>
        <sz val="9"/>
        <rFont val="Calibri"/>
        <family val="2"/>
      </rPr>
      <t xml:space="preserve">12H SN </t>
    </r>
    <r>
      <rPr>
        <sz val="9"/>
        <rFont val="Calibri"/>
        <family val="2"/>
      </rPr>
      <t xml:space="preserve">-  </t>
    </r>
    <r>
      <rPr>
        <b/>
        <sz val="9"/>
        <rFont val="Calibri"/>
        <family val="2"/>
      </rPr>
      <t>S</t>
    </r>
    <r>
      <rPr>
        <sz val="9"/>
        <rFont val="Calibri"/>
        <family val="2"/>
      </rPr>
      <t xml:space="preserve">ERVIÇO </t>
    </r>
    <r>
      <rPr>
        <b/>
        <sz val="9"/>
        <rFont val="Calibri"/>
        <family val="2"/>
      </rPr>
      <t>N</t>
    </r>
    <r>
      <rPr>
        <sz val="9"/>
        <rFont val="Calibri"/>
        <family val="2"/>
      </rPr>
      <t xml:space="preserve">OTURNO (19:00h às 07:00h)  </t>
    </r>
    <r>
      <rPr>
        <b/>
        <sz val="9"/>
        <rFont val="Calibri"/>
        <family val="2"/>
      </rPr>
      <t xml:space="preserve">12 INSS - AFASTAMENTO POR DOENÇA
P    </t>
    </r>
    <r>
      <rPr>
        <vertAlign val="superscript"/>
        <sz val="9"/>
        <rFont val="Calibri"/>
        <family val="2"/>
      </rPr>
      <t>PLANTÃO 24H</t>
    </r>
  </si>
  <si>
    <t xml:space="preserve">NOME
</t>
  </si>
  <si>
    <t>ESCALA  DE TECNICOS DE ENFERMAGEM</t>
  </si>
  <si>
    <r>
      <rPr>
        <sz val="11"/>
        <rFont val="Calibri"/>
        <family val="1"/>
      </rPr>
      <t>TÉCNICO DE ENFERMAGEM</t>
    </r>
  </si>
  <si>
    <r>
      <rPr>
        <sz val="11"/>
        <rFont val="Calibri"/>
        <family val="1"/>
      </rPr>
      <t>CME</t>
    </r>
  </si>
  <si>
    <t>CME</t>
  </si>
  <si>
    <t>MÊS/ANO:
FEVEREIRO / 2026</t>
  </si>
  <si>
    <t>M</t>
  </si>
  <si>
    <t>MÊS/ANO:
janeiro/2026</t>
  </si>
  <si>
    <r>
      <rPr>
        <b/>
        <sz val="11"/>
        <rFont val="Calibri"/>
        <family val="1"/>
      </rPr>
      <t>SD</t>
    </r>
  </si>
  <si>
    <t>DOM</t>
  </si>
  <si>
    <t>SEG</t>
  </si>
  <si>
    <t>TER</t>
  </si>
  <si>
    <t>MÊS/ANO:
MARÇO / 2026</t>
  </si>
  <si>
    <t>COREN</t>
  </si>
  <si>
    <t>MÊS/ANO:
ABRIL / 2026</t>
  </si>
  <si>
    <t>MÊS/ANO:
MAIO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</si>
</sst>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1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vertAlign val="superscript"/>
      <sz val="9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</font>
    <font>
      <b/>
      <i/>
      <sz val="11"/>
      <name val="Calibri"/>
      <family val="2"/>
    </font>
    <font>
      <sz val="11"/>
      <color rgb="FF000000"/>
      <name val="Times New Roman"/>
      <family val="1"/>
    </font>
    <font>
      <b/>
      <sz val="16"/>
      <color rgb="FF000000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 tint="-0.249977111117893"/>
      <name val="Calibri"/>
      <family val="2"/>
    </font>
    <font>
      <sz val="10"/>
      <color theme="0" tint="-0.249977111117893"/>
      <name val="Times New Roman"/>
      <family val="1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0F1"/>
      </patternFill>
    </fill>
    <fill>
      <patternFill patternType="solid">
        <fgColor rgb="FFCF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2" fillId="5" borderId="17" xfId="0" applyFont="1" applyFill="1" applyBorder="1" applyAlignment="1" applyProtection="1">
      <alignment horizontal="center" vertical="center"/>
      <protection hidden="1"/>
    </xf>
    <xf numFmtId="0" fontId="7" fillId="0" borderId="16" xfId="1" applyFont="1" applyBorder="1" applyAlignment="1">
      <alignment horizontal="center" vertical="center" wrapText="1"/>
    </xf>
    <xf numFmtId="164" fontId="3" fillId="3" borderId="18" xfId="1" applyNumberFormat="1" applyFont="1" applyFill="1" applyBorder="1" applyAlignment="1">
      <alignment horizontal="center" vertical="center" shrinkToFit="1"/>
    </xf>
    <xf numFmtId="0" fontId="8" fillId="3" borderId="16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center" vertical="top" wrapText="1"/>
    </xf>
    <xf numFmtId="1" fontId="18" fillId="0" borderId="3" xfId="0" applyNumberFormat="1" applyFont="1" applyBorder="1" applyAlignment="1">
      <alignment horizontal="center" vertical="top" shrinkToFit="1"/>
    </xf>
    <xf numFmtId="0" fontId="19" fillId="4" borderId="16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top" wrapText="1"/>
    </xf>
    <xf numFmtId="0" fontId="20" fillId="6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 shrinkToFit="1"/>
    </xf>
    <xf numFmtId="1" fontId="14" fillId="0" borderId="3" xfId="0" applyNumberFormat="1" applyFont="1" applyBorder="1" applyAlignment="1">
      <alignment horizontal="left" vertical="top" indent="3" shrinkToFit="1"/>
    </xf>
    <xf numFmtId="0" fontId="12" fillId="2" borderId="3" xfId="0" applyFont="1" applyFill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24" fillId="2" borderId="3" xfId="0" applyFont="1" applyFill="1" applyBorder="1" applyAlignment="1">
      <alignment horizontal="left" wrapText="1"/>
    </xf>
    <xf numFmtId="0" fontId="24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left" wrapText="1"/>
    </xf>
    <xf numFmtId="0" fontId="15" fillId="2" borderId="3" xfId="0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left" wrapText="1"/>
    </xf>
    <xf numFmtId="0" fontId="15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left" wrapText="1"/>
    </xf>
    <xf numFmtId="0" fontId="20" fillId="2" borderId="3" xfId="0" applyFont="1" applyFill="1" applyBorder="1" applyAlignment="1">
      <alignment horizontal="left" wrapText="1"/>
    </xf>
    <xf numFmtId="0" fontId="26" fillId="0" borderId="3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7" fillId="5" borderId="3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top" wrapText="1"/>
    </xf>
    <xf numFmtId="0" fontId="30" fillId="5" borderId="3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4" fillId="8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 indent="2"/>
    </xf>
    <xf numFmtId="0" fontId="12" fillId="8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left" wrapText="1"/>
    </xf>
    <xf numFmtId="0" fontId="12" fillId="7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18" fillId="10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left" vertical="top" wrapText="1" indent="2"/>
    </xf>
    <xf numFmtId="0" fontId="16" fillId="0" borderId="2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 indent="2"/>
    </xf>
    <xf numFmtId="0" fontId="6" fillId="0" borderId="7" xfId="0" applyFont="1" applyBorder="1" applyAlignment="1">
      <alignment horizontal="left" vertical="top" wrapText="1" indent="2"/>
    </xf>
    <xf numFmtId="0" fontId="10" fillId="0" borderId="8" xfId="0" applyFont="1" applyBorder="1" applyAlignment="1">
      <alignment horizontal="left" vertical="top" wrapText="1" indent="2"/>
    </xf>
    <xf numFmtId="0" fontId="10" fillId="0" borderId="9" xfId="0" applyFont="1" applyBorder="1" applyAlignment="1">
      <alignment horizontal="left" vertical="top" wrapText="1" indent="2"/>
    </xf>
    <xf numFmtId="0" fontId="10" fillId="0" borderId="10" xfId="0" applyFont="1" applyBorder="1" applyAlignment="1">
      <alignment horizontal="left" vertical="top" wrapText="1" indent="2"/>
    </xf>
    <xf numFmtId="0" fontId="10" fillId="0" borderId="1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0" fillId="0" borderId="12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121157</xdr:colOff>
      <xdr:row>7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6E80464-CFFF-452C-B06C-CE5B175BBCA0}"/>
            </a:ext>
          </a:extLst>
        </xdr:cNvPr>
        <xdr:cNvSpPr/>
      </xdr:nvSpPr>
      <xdr:spPr>
        <a:xfrm>
          <a:off x="14923007" y="268224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3" name="image1.jpeg">
          <a:extLst>
            <a:ext uri="{FF2B5EF4-FFF2-40B4-BE49-F238E27FC236}">
              <a16:creationId xmlns:a16="http://schemas.microsoft.com/office/drawing/2014/main" id="{AA59E960-A531-427E-8198-1B864C186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016" y="111747"/>
          <a:ext cx="1251635" cy="277380"/>
        </a:xfrm>
        <a:prstGeom prst="rect">
          <a:avLst/>
        </a:prstGeom>
      </xdr:spPr>
    </xdr:pic>
    <xdr:clientData/>
  </xdr:oneCellAnchor>
  <xdr:oneCellAnchor>
    <xdr:from>
      <xdr:col>29</xdr:col>
      <xdr:colOff>121157</xdr:colOff>
      <xdr:row>8</xdr:row>
      <xdr:rowOff>167640</xdr:rowOff>
    </xdr:from>
    <xdr:ext cx="6350" cy="85725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A1FED1C5-9BC0-4144-89FB-820462D7C5C4}"/>
            </a:ext>
          </a:extLst>
        </xdr:cNvPr>
        <xdr:cNvSpPr/>
      </xdr:nvSpPr>
      <xdr:spPr>
        <a:xfrm>
          <a:off x="12198857" y="294894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5" name="image1.jpeg">
          <a:extLst>
            <a:ext uri="{FF2B5EF4-FFF2-40B4-BE49-F238E27FC236}">
              <a16:creationId xmlns:a16="http://schemas.microsoft.com/office/drawing/2014/main" id="{44E83C1F-9224-4838-B15B-B08A6432D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016" y="111747"/>
          <a:ext cx="1251635" cy="2773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121157</xdr:colOff>
      <xdr:row>6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198857" y="7225665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016" y="111747"/>
          <a:ext cx="1251635" cy="2773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121157</xdr:colOff>
      <xdr:row>6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FFFFB43-992B-47E2-B82F-AF4639078FF8}"/>
            </a:ext>
          </a:extLst>
        </xdr:cNvPr>
        <xdr:cNvSpPr/>
      </xdr:nvSpPr>
      <xdr:spPr>
        <a:xfrm>
          <a:off x="17784317" y="266700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3" name="image1.jpeg">
          <a:extLst>
            <a:ext uri="{FF2B5EF4-FFF2-40B4-BE49-F238E27FC236}">
              <a16:creationId xmlns:a16="http://schemas.microsoft.com/office/drawing/2014/main" id="{5D617A01-CE96-4D47-9B2C-B9C17845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891" y="111747"/>
          <a:ext cx="1251635" cy="2773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121157</xdr:colOff>
      <xdr:row>5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F833B94-282D-4D6B-8EE7-2D59E70B5F34}"/>
            </a:ext>
          </a:extLst>
        </xdr:cNvPr>
        <xdr:cNvSpPr/>
      </xdr:nvSpPr>
      <xdr:spPr>
        <a:xfrm>
          <a:off x="18912077" y="234696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3" name="image1.jpeg">
          <a:extLst>
            <a:ext uri="{FF2B5EF4-FFF2-40B4-BE49-F238E27FC236}">
              <a16:creationId xmlns:a16="http://schemas.microsoft.com/office/drawing/2014/main" id="{3F4099A9-7A0F-4679-B53B-E46506B16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891" y="111747"/>
          <a:ext cx="1251635" cy="2773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121157</xdr:colOff>
      <xdr:row>5</xdr:row>
      <xdr:rowOff>167640</xdr:rowOff>
    </xdr:from>
    <xdr:ext cx="635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3246E3FA-5E4D-4FA9-B287-5223758FE5BA}"/>
            </a:ext>
          </a:extLst>
        </xdr:cNvPr>
        <xdr:cNvSpPr/>
      </xdr:nvSpPr>
      <xdr:spPr>
        <a:xfrm>
          <a:off x="18912077" y="2004060"/>
          <a:ext cx="6350" cy="85725"/>
        </a:xfrm>
        <a:custGeom>
          <a:avLst/>
          <a:gdLst/>
          <a:ahLst/>
          <a:cxnLst/>
          <a:rect l="0" t="0" r="0" b="0"/>
          <a:pathLst>
            <a:path w="6350" h="85725">
              <a:moveTo>
                <a:pt x="6096" y="0"/>
              </a:moveTo>
              <a:lnTo>
                <a:pt x="0" y="0"/>
              </a:lnTo>
              <a:lnTo>
                <a:pt x="0" y="85344"/>
              </a:lnTo>
              <a:lnTo>
                <a:pt x="6096" y="85344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137591</xdr:colOff>
      <xdr:row>0</xdr:row>
      <xdr:rowOff>111747</xdr:rowOff>
    </xdr:from>
    <xdr:ext cx="1251635" cy="277380"/>
    <xdr:pic>
      <xdr:nvPicPr>
        <xdr:cNvPr id="3" name="image1.jpeg">
          <a:extLst>
            <a:ext uri="{FF2B5EF4-FFF2-40B4-BE49-F238E27FC236}">
              <a16:creationId xmlns:a16="http://schemas.microsoft.com/office/drawing/2014/main" id="{E6C28BC6-1AED-443E-9C5A-4606EB956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891" y="111747"/>
          <a:ext cx="1251635" cy="2773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21A0-5706-4055-B994-1D381DAFC38E}">
  <sheetPr>
    <pageSetUpPr fitToPage="1"/>
  </sheetPr>
  <dimension ref="A1:AN25"/>
  <sheetViews>
    <sheetView showGridLines="0" zoomScale="112" zoomScaleNormal="112" workbookViewId="0">
      <pane xSplit="7" ySplit="4" topLeftCell="H5" activePane="bottomRight" state="frozen"/>
      <selection pane="topRight" activeCell="H1" sqref="H1"/>
      <selection pane="bottomLeft" activeCell="A5" sqref="A5"/>
      <selection pane="bottomRight" sqref="A1:XFD1048576"/>
    </sheetView>
  </sheetViews>
  <sheetFormatPr defaultColWidth="3.77734375" defaultRowHeight="13.2" x14ac:dyDescent="0.25"/>
  <cols>
    <col min="1" max="1" width="12.77734375" customWidth="1"/>
    <col min="2" max="2" width="32.77734375" customWidth="1"/>
    <col min="3" max="3" width="12.6640625" customWidth="1"/>
    <col min="4" max="4" width="16.44140625" customWidth="1"/>
    <col min="5" max="5" width="12.44140625" customWidth="1"/>
    <col min="6" max="6" width="6.6640625" customWidth="1"/>
    <col min="7" max="7" width="7.33203125" customWidth="1"/>
    <col min="8" max="10" width="4.6640625" customWidth="1"/>
    <col min="11" max="11" width="6" customWidth="1"/>
    <col min="12" max="17" width="4.6640625" customWidth="1"/>
    <col min="18" max="38" width="5.109375" bestFit="1" customWidth="1"/>
    <col min="39" max="39" width="10.77734375" customWidth="1"/>
    <col min="40" max="40" width="5.44140625" customWidth="1"/>
  </cols>
  <sheetData>
    <row r="1" spans="1:40" ht="40.5" customHeight="1" x14ac:dyDescent="0.25">
      <c r="A1" s="10"/>
      <c r="B1" s="8"/>
      <c r="C1" s="7"/>
      <c r="D1" s="86"/>
      <c r="E1" s="86"/>
      <c r="F1" s="86"/>
      <c r="G1" s="87" t="s">
        <v>20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8" t="s">
        <v>23</v>
      </c>
      <c r="Y1" s="88"/>
      <c r="Z1" s="88"/>
      <c r="AA1" s="88"/>
      <c r="AB1" s="88"/>
      <c r="AC1" s="88"/>
      <c r="AD1" s="88"/>
      <c r="AE1" s="88"/>
      <c r="AF1" s="88"/>
      <c r="AG1" s="88"/>
      <c r="AH1" s="89"/>
      <c r="AI1" s="75" t="s">
        <v>26</v>
      </c>
      <c r="AJ1" s="76"/>
      <c r="AK1" s="76"/>
      <c r="AL1" s="76"/>
      <c r="AM1" s="77"/>
      <c r="AN1" s="16"/>
    </row>
    <row r="2" spans="1:40" ht="12.75" customHeight="1" x14ac:dyDescent="0.3">
      <c r="A2" s="96" t="s">
        <v>11</v>
      </c>
      <c r="B2" s="98" t="s">
        <v>12</v>
      </c>
      <c r="C2" s="99"/>
      <c r="D2" s="99"/>
      <c r="E2" s="99"/>
      <c r="F2" s="100"/>
      <c r="G2" s="5"/>
      <c r="H2" s="104"/>
      <c r="I2" s="105"/>
      <c r="J2" s="105"/>
      <c r="K2" s="105"/>
      <c r="L2" s="105"/>
      <c r="M2" s="105"/>
      <c r="N2" s="105"/>
      <c r="O2" s="105"/>
      <c r="P2" s="105"/>
      <c r="Q2" s="9"/>
      <c r="R2" s="9"/>
      <c r="S2" s="9"/>
      <c r="T2" s="9"/>
      <c r="U2" s="106" t="s">
        <v>13</v>
      </c>
      <c r="V2" s="106"/>
      <c r="W2" s="106"/>
      <c r="X2" s="78" t="s">
        <v>14</v>
      </c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1"/>
      <c r="AN2" s="16"/>
    </row>
    <row r="3" spans="1:40" ht="27" customHeight="1" x14ac:dyDescent="0.3">
      <c r="A3" s="97"/>
      <c r="B3" s="101"/>
      <c r="C3" s="102"/>
      <c r="D3" s="102"/>
      <c r="E3" s="102"/>
      <c r="F3" s="103"/>
      <c r="G3" s="6"/>
      <c r="H3" s="2" t="str">
        <f>UPPER(TEXT(H4,"DDD"))</f>
        <v>QUI</v>
      </c>
      <c r="I3" s="2" t="str">
        <f t="shared" ref="I3:AL3" si="0">UPPER(TEXT(I4,"DDD"))</f>
        <v>SEX</v>
      </c>
      <c r="J3" s="2" t="str">
        <f t="shared" si="0"/>
        <v>SÁB</v>
      </c>
      <c r="K3" s="2" t="str">
        <f t="shared" si="0"/>
        <v>DOM</v>
      </c>
      <c r="L3" s="2" t="str">
        <f t="shared" si="0"/>
        <v>SEG</v>
      </c>
      <c r="M3" s="2" t="str">
        <f t="shared" si="0"/>
        <v>TER</v>
      </c>
      <c r="N3" s="2" t="str">
        <f t="shared" si="0"/>
        <v>QUA</v>
      </c>
      <c r="O3" s="2" t="str">
        <f t="shared" si="0"/>
        <v>QUI</v>
      </c>
      <c r="P3" s="2" t="str">
        <f t="shared" si="0"/>
        <v>SEX</v>
      </c>
      <c r="Q3" s="2" t="str">
        <f t="shared" si="0"/>
        <v>SÁB</v>
      </c>
      <c r="R3" s="2" t="str">
        <f t="shared" si="0"/>
        <v>DOM</v>
      </c>
      <c r="S3" s="2" t="str">
        <f t="shared" si="0"/>
        <v>SEG</v>
      </c>
      <c r="T3" s="2" t="str">
        <f t="shared" si="0"/>
        <v>TER</v>
      </c>
      <c r="U3" s="2" t="str">
        <f t="shared" si="0"/>
        <v>QUA</v>
      </c>
      <c r="V3" s="2" t="str">
        <f t="shared" si="0"/>
        <v>QUI</v>
      </c>
      <c r="W3" s="2" t="str">
        <f t="shared" si="0"/>
        <v>SEX</v>
      </c>
      <c r="X3" s="2" t="str">
        <f t="shared" si="0"/>
        <v>SÁB</v>
      </c>
      <c r="Y3" s="2" t="str">
        <f t="shared" si="0"/>
        <v>DOM</v>
      </c>
      <c r="Z3" s="2" t="str">
        <f t="shared" si="0"/>
        <v>SEG</v>
      </c>
      <c r="AA3" s="2" t="str">
        <f t="shared" si="0"/>
        <v>TER</v>
      </c>
      <c r="AB3" s="2" t="str">
        <f t="shared" si="0"/>
        <v>QUA</v>
      </c>
      <c r="AC3" s="2" t="str">
        <f t="shared" si="0"/>
        <v>QUI</v>
      </c>
      <c r="AD3" s="2" t="str">
        <f t="shared" si="0"/>
        <v>SEX</v>
      </c>
      <c r="AE3" s="2" t="str">
        <f t="shared" si="0"/>
        <v>SÁB</v>
      </c>
      <c r="AF3" s="2" t="str">
        <f t="shared" si="0"/>
        <v>DOM</v>
      </c>
      <c r="AG3" s="2" t="str">
        <f t="shared" si="0"/>
        <v>SEG</v>
      </c>
      <c r="AH3" s="2" t="str">
        <f t="shared" si="0"/>
        <v>TER</v>
      </c>
      <c r="AI3" s="2" t="str">
        <f t="shared" si="0"/>
        <v>QUA</v>
      </c>
      <c r="AJ3" s="2" t="str">
        <f t="shared" si="0"/>
        <v>QUI</v>
      </c>
      <c r="AK3" s="2" t="str">
        <f t="shared" si="0"/>
        <v>SEX</v>
      </c>
      <c r="AL3" s="2" t="str">
        <f t="shared" si="0"/>
        <v>SÁB</v>
      </c>
      <c r="AM3" s="3" t="s">
        <v>15</v>
      </c>
      <c r="AN3" s="16"/>
    </row>
    <row r="4" spans="1:40" s="15" customFormat="1" ht="36" customHeight="1" x14ac:dyDescent="0.25">
      <c r="A4" s="4" t="s">
        <v>16</v>
      </c>
      <c r="B4" s="4" t="s">
        <v>19</v>
      </c>
      <c r="C4" s="79" t="s">
        <v>6</v>
      </c>
      <c r="D4" s="80"/>
      <c r="E4" s="4" t="s">
        <v>7</v>
      </c>
      <c r="F4" s="4" t="s">
        <v>8</v>
      </c>
      <c r="G4" s="14" t="s">
        <v>10</v>
      </c>
      <c r="H4" s="13">
        <v>46023</v>
      </c>
      <c r="I4" s="13">
        <f>H4+1</f>
        <v>46024</v>
      </c>
      <c r="J4" s="13">
        <f t="shared" ref="J4:AL4" si="1">I4+1</f>
        <v>46025</v>
      </c>
      <c r="K4" s="13">
        <f t="shared" si="1"/>
        <v>46026</v>
      </c>
      <c r="L4" s="13">
        <f t="shared" si="1"/>
        <v>46027</v>
      </c>
      <c r="M4" s="13">
        <f t="shared" si="1"/>
        <v>46028</v>
      </c>
      <c r="N4" s="13">
        <f t="shared" si="1"/>
        <v>46029</v>
      </c>
      <c r="O4" s="13">
        <f t="shared" si="1"/>
        <v>46030</v>
      </c>
      <c r="P4" s="13">
        <f t="shared" si="1"/>
        <v>46031</v>
      </c>
      <c r="Q4" s="13">
        <f t="shared" si="1"/>
        <v>46032</v>
      </c>
      <c r="R4" s="13">
        <f t="shared" si="1"/>
        <v>46033</v>
      </c>
      <c r="S4" s="13">
        <f t="shared" si="1"/>
        <v>46034</v>
      </c>
      <c r="T4" s="13">
        <f t="shared" si="1"/>
        <v>46035</v>
      </c>
      <c r="U4" s="13">
        <f t="shared" si="1"/>
        <v>46036</v>
      </c>
      <c r="V4" s="13">
        <f t="shared" si="1"/>
        <v>46037</v>
      </c>
      <c r="W4" s="13">
        <f t="shared" si="1"/>
        <v>46038</v>
      </c>
      <c r="X4" s="13">
        <f t="shared" si="1"/>
        <v>46039</v>
      </c>
      <c r="Y4" s="13">
        <f t="shared" si="1"/>
        <v>46040</v>
      </c>
      <c r="Z4" s="13">
        <f t="shared" si="1"/>
        <v>46041</v>
      </c>
      <c r="AA4" s="13">
        <f t="shared" si="1"/>
        <v>46042</v>
      </c>
      <c r="AB4" s="13">
        <f t="shared" si="1"/>
        <v>46043</v>
      </c>
      <c r="AC4" s="13">
        <f t="shared" si="1"/>
        <v>46044</v>
      </c>
      <c r="AD4" s="13">
        <f t="shared" si="1"/>
        <v>46045</v>
      </c>
      <c r="AE4" s="13">
        <f t="shared" si="1"/>
        <v>46046</v>
      </c>
      <c r="AF4" s="13">
        <f t="shared" si="1"/>
        <v>46047</v>
      </c>
      <c r="AG4" s="13">
        <f t="shared" si="1"/>
        <v>46048</v>
      </c>
      <c r="AH4" s="13">
        <f t="shared" si="1"/>
        <v>46049</v>
      </c>
      <c r="AI4" s="13">
        <f t="shared" si="1"/>
        <v>46050</v>
      </c>
      <c r="AJ4" s="13">
        <f t="shared" si="1"/>
        <v>46051</v>
      </c>
      <c r="AK4" s="13">
        <f t="shared" si="1"/>
        <v>46052</v>
      </c>
      <c r="AL4" s="13">
        <f t="shared" si="1"/>
        <v>46053</v>
      </c>
      <c r="AM4" s="12" t="s">
        <v>2</v>
      </c>
      <c r="AN4" s="16"/>
    </row>
    <row r="5" spans="1:40" ht="25.5" customHeight="1" x14ac:dyDescent="0.3">
      <c r="A5" s="34">
        <v>17820</v>
      </c>
      <c r="B5" s="18" t="s">
        <v>3</v>
      </c>
      <c r="C5" s="81" t="s">
        <v>17</v>
      </c>
      <c r="D5" s="82"/>
      <c r="E5" s="19" t="s">
        <v>22</v>
      </c>
      <c r="F5" s="20">
        <v>36</v>
      </c>
      <c r="G5" s="21">
        <f t="array" ref="G5">SUMPRODUCT((H5:AL5="SD")+(H5:AL5="SN")+(H5:AL5="MT")+(H5:AL5="8H")+(H5:AL5="N")+(H5:AL5="M")+(H5:AL5="T")+(H5:AL5="AE")+(H5:AL5="AB")+(H5:AL5="AA")+(H5:AL5="FC"))</f>
        <v>13</v>
      </c>
      <c r="H5" s="35"/>
      <c r="I5" s="36" t="s">
        <v>27</v>
      </c>
      <c r="J5" s="37"/>
      <c r="K5" s="35" t="s">
        <v>27</v>
      </c>
      <c r="L5" s="38"/>
      <c r="M5" s="36" t="s">
        <v>27</v>
      </c>
      <c r="N5" s="38"/>
      <c r="O5" s="36" t="s">
        <v>27</v>
      </c>
      <c r="P5" s="39" t="s">
        <v>9</v>
      </c>
      <c r="Q5" s="40"/>
      <c r="R5" s="41"/>
      <c r="S5" s="42" t="s">
        <v>9</v>
      </c>
      <c r="T5" s="43"/>
      <c r="U5" s="36" t="s">
        <v>27</v>
      </c>
      <c r="V5" s="43"/>
      <c r="W5" s="36" t="s">
        <v>27</v>
      </c>
      <c r="X5" s="44"/>
      <c r="Y5" s="35"/>
      <c r="Z5" s="43"/>
      <c r="AA5" s="36" t="s">
        <v>27</v>
      </c>
      <c r="AB5" s="43"/>
      <c r="AC5" s="43"/>
      <c r="AD5" s="36" t="s">
        <v>27</v>
      </c>
      <c r="AE5" s="44"/>
      <c r="AF5" s="35" t="s">
        <v>27</v>
      </c>
      <c r="AG5" s="43"/>
      <c r="AH5" s="36" t="s">
        <v>27</v>
      </c>
      <c r="AI5" s="43"/>
      <c r="AJ5" s="43"/>
      <c r="AK5" s="36" t="s">
        <v>27</v>
      </c>
      <c r="AL5" s="44"/>
      <c r="AM5" s="11">
        <f>SUMPRODUCT((H5:AL5="SD")*12 + (H5:AL5="SN")*12 + (H5:AL5="MT")*8 + (H5:AL5="M")*6 + (H5:AL5="T")*6)</f>
        <v>156</v>
      </c>
      <c r="AN5" s="16"/>
    </row>
    <row r="6" spans="1:40" ht="30" customHeight="1" x14ac:dyDescent="0.3">
      <c r="A6" s="34">
        <v>17866</v>
      </c>
      <c r="B6" s="18" t="s">
        <v>4</v>
      </c>
      <c r="C6" s="83" t="s">
        <v>21</v>
      </c>
      <c r="D6" s="82"/>
      <c r="E6" s="19" t="s">
        <v>22</v>
      </c>
      <c r="F6" s="20">
        <v>36</v>
      </c>
      <c r="G6" s="21">
        <f t="array" ref="G6">SUMPRODUCT((H6:AL6="SD")+(H6:AL6="SN")+(H6:AL6="MT")+(H6:AL6="8H")+(H6:AL6="N")+(H6:AL6="M")+(H6:AL6="T")+(H6:AL6="AE")+(H6:AL6="AB")+(H6:AL6="AA")+(H6:AL6="FC"))</f>
        <v>13</v>
      </c>
      <c r="H6" s="35" t="s">
        <v>27</v>
      </c>
      <c r="I6" s="38"/>
      <c r="J6" s="35" t="s">
        <v>27</v>
      </c>
      <c r="K6" s="37"/>
      <c r="L6" s="36" t="s">
        <v>27</v>
      </c>
      <c r="M6" s="38"/>
      <c r="N6" s="36" t="s">
        <v>27</v>
      </c>
      <c r="O6" s="38"/>
      <c r="P6" s="42"/>
      <c r="Q6" s="41" t="s">
        <v>9</v>
      </c>
      <c r="R6" s="41"/>
      <c r="S6" s="45"/>
      <c r="T6" s="36" t="s">
        <v>27</v>
      </c>
      <c r="U6" s="43"/>
      <c r="V6" s="36" t="s">
        <v>27</v>
      </c>
      <c r="W6" s="43"/>
      <c r="X6" s="35" t="s">
        <v>27</v>
      </c>
      <c r="Y6" s="44"/>
      <c r="Z6" s="36" t="s">
        <v>27</v>
      </c>
      <c r="AA6" s="43"/>
      <c r="AB6" s="43"/>
      <c r="AC6" s="36" t="s">
        <v>27</v>
      </c>
      <c r="AD6" s="43"/>
      <c r="AE6" s="44"/>
      <c r="AF6" s="44"/>
      <c r="AG6" s="36" t="s">
        <v>27</v>
      </c>
      <c r="AH6" s="43"/>
      <c r="AI6" s="36" t="s">
        <v>27</v>
      </c>
      <c r="AJ6" s="43"/>
      <c r="AK6" s="43"/>
      <c r="AL6" s="35" t="s">
        <v>27</v>
      </c>
      <c r="AM6" s="11">
        <f>SUMPRODUCT((H6:AL6="SD")*12 + (H6:AL6="SN")*12 + (H6:AL6="MT")*8 + (H6:AL6="M")*6 + (H6:AL6="T")*6)</f>
        <v>156</v>
      </c>
      <c r="AN6" s="16"/>
    </row>
    <row r="7" spans="1:40" ht="26.25" customHeight="1" x14ac:dyDescent="0.3">
      <c r="A7" s="38"/>
      <c r="B7" s="18" t="s">
        <v>5</v>
      </c>
      <c r="C7" s="81" t="s">
        <v>17</v>
      </c>
      <c r="D7" s="82"/>
      <c r="E7" s="19" t="s">
        <v>22</v>
      </c>
      <c r="F7" s="20">
        <v>36</v>
      </c>
      <c r="G7" s="21">
        <f t="array" ref="G7">SUMPRODUCT((H7:AL7="SD")+(H7:AL7="SN")+(H7:AL7="MT")+(H7:AL7="8H")+(H7:AL7="N")+(H7:AL7="M")+(H7:AL7="T")+(H7:AL7="AE")+(H7:AL7="AB")+(H7:AL7="AA")+(H7:AL7="FC"))</f>
        <v>13</v>
      </c>
      <c r="H7" s="37"/>
      <c r="I7" s="38"/>
      <c r="J7" s="35" t="s">
        <v>27</v>
      </c>
      <c r="K7" s="37"/>
      <c r="L7" s="36" t="s">
        <v>27</v>
      </c>
      <c r="M7" s="38"/>
      <c r="N7" s="36" t="s">
        <v>27</v>
      </c>
      <c r="O7" s="38"/>
      <c r="P7" s="42" t="s">
        <v>9</v>
      </c>
      <c r="Q7" s="41"/>
      <c r="R7" s="40" t="s">
        <v>9</v>
      </c>
      <c r="S7" s="45"/>
      <c r="T7" s="36" t="s">
        <v>27</v>
      </c>
      <c r="U7" s="43"/>
      <c r="V7" s="36" t="s">
        <v>27</v>
      </c>
      <c r="W7" s="43"/>
      <c r="X7" s="35" t="s">
        <v>27</v>
      </c>
      <c r="Y7" s="44"/>
      <c r="Z7" s="36" t="s">
        <v>27</v>
      </c>
      <c r="AA7" s="43"/>
      <c r="AB7" s="36" t="s">
        <v>27</v>
      </c>
      <c r="AC7" s="43"/>
      <c r="AD7" s="43"/>
      <c r="AE7" s="35" t="s">
        <v>27</v>
      </c>
      <c r="AF7" s="44"/>
      <c r="AG7" s="36" t="s">
        <v>27</v>
      </c>
      <c r="AH7" s="43"/>
      <c r="AI7" s="43"/>
      <c r="AJ7" s="36" t="s">
        <v>27</v>
      </c>
      <c r="AK7" s="43"/>
      <c r="AL7" s="44"/>
      <c r="AM7" s="11">
        <f t="shared" ref="AM7" si="2">SUMPRODUCT((H7:AL7="SD")*12 + (H7:AL7="SN")*12 + (H7:AL7="MT")*8 + (H7:AL7="M")*6 + (H7:AL7="T")*6)</f>
        <v>156</v>
      </c>
      <c r="AN7" s="16"/>
    </row>
    <row r="8" spans="1:40" ht="68.25" customHeight="1" x14ac:dyDescent="0.3">
      <c r="A8" s="46"/>
      <c r="B8" s="47"/>
      <c r="C8" s="84"/>
      <c r="D8" s="85"/>
      <c r="E8" s="19"/>
      <c r="F8" s="20"/>
      <c r="G8" s="21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11"/>
      <c r="AN8" s="16"/>
    </row>
    <row r="9" spans="1:40" s="15" customFormat="1" x14ac:dyDescent="0.25">
      <c r="A9" s="17"/>
      <c r="B9" s="90" t="s">
        <v>0</v>
      </c>
      <c r="C9" s="90"/>
      <c r="D9" s="90" t="s">
        <v>1</v>
      </c>
      <c r="E9" s="90"/>
      <c r="F9" s="90"/>
      <c r="G9" s="91"/>
      <c r="H9" s="91"/>
      <c r="I9" s="91"/>
      <c r="J9" s="91"/>
      <c r="K9" s="91"/>
      <c r="L9" s="91"/>
      <c r="M9" s="91"/>
      <c r="N9" s="92"/>
      <c r="O9" s="93" t="s">
        <v>18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5"/>
      <c r="AM9" s="73"/>
      <c r="AN9" s="74"/>
    </row>
    <row r="10" spans="1:40" s="15" customFormat="1" x14ac:dyDescent="0.25"/>
    <row r="11" spans="1:40" s="15" customFormat="1" x14ac:dyDescent="0.25"/>
    <row r="12" spans="1:40" s="15" customFormat="1" x14ac:dyDescent="0.25"/>
    <row r="13" spans="1:40" s="15" customFormat="1" x14ac:dyDescent="0.25"/>
    <row r="14" spans="1:40" s="15" customFormat="1" x14ac:dyDescent="0.25"/>
    <row r="15" spans="1:40" s="15" customFormat="1" x14ac:dyDescent="0.25"/>
    <row r="16" spans="1:40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  <row r="23" s="15" customFormat="1" x14ac:dyDescent="0.25"/>
    <row r="24" s="15" customFormat="1" x14ac:dyDescent="0.25"/>
    <row r="25" s="15" customFormat="1" x14ac:dyDescent="0.25"/>
  </sheetData>
  <mergeCells count="21">
    <mergeCell ref="A2:A3"/>
    <mergeCell ref="B2:F3"/>
    <mergeCell ref="H2:K2"/>
    <mergeCell ref="L2:P2"/>
    <mergeCell ref="U2:W2"/>
    <mergeCell ref="AM9:AN9"/>
    <mergeCell ref="AI1:AM1"/>
    <mergeCell ref="X2:AL2"/>
    <mergeCell ref="C4:D4"/>
    <mergeCell ref="C5:D5"/>
    <mergeCell ref="C6:D6"/>
    <mergeCell ref="C7:D7"/>
    <mergeCell ref="C8:D8"/>
    <mergeCell ref="D1:F1"/>
    <mergeCell ref="G1:W1"/>
    <mergeCell ref="X1:AH1"/>
    <mergeCell ref="B9:C9"/>
    <mergeCell ref="D9:F9"/>
    <mergeCell ref="G9:K9"/>
    <mergeCell ref="L9:N9"/>
    <mergeCell ref="O9:AL9"/>
  </mergeCells>
  <pageMargins left="0.25" right="0.25" top="0.75" bottom="0.75" header="0.3" footer="0.3"/>
  <pageSetup paperSize="9" scale="5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3"/>
  <sheetViews>
    <sheetView showGridLines="0" zoomScale="63" zoomScaleNormal="63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K6" sqref="K6"/>
    </sheetView>
  </sheetViews>
  <sheetFormatPr defaultColWidth="3.77734375" defaultRowHeight="13.2" x14ac:dyDescent="0.25"/>
  <cols>
    <col min="1" max="1" width="12.77734375" customWidth="1"/>
    <col min="2" max="2" width="32.77734375" customWidth="1"/>
    <col min="3" max="3" width="12.6640625" customWidth="1"/>
    <col min="4" max="4" width="16.44140625" customWidth="1"/>
    <col min="5" max="5" width="12.44140625" customWidth="1"/>
    <col min="6" max="6" width="6.6640625" customWidth="1"/>
    <col min="7" max="7" width="7.33203125" customWidth="1"/>
    <col min="8" max="36" width="7.109375" customWidth="1"/>
    <col min="37" max="37" width="10.77734375" customWidth="1"/>
    <col min="38" max="38" width="5.44140625" customWidth="1"/>
  </cols>
  <sheetData>
    <row r="1" spans="1:38" ht="40.5" customHeight="1" x14ac:dyDescent="0.25">
      <c r="A1" s="10"/>
      <c r="B1" s="8"/>
      <c r="C1" s="7"/>
      <c r="D1" s="86"/>
      <c r="E1" s="86"/>
      <c r="F1" s="86"/>
      <c r="G1" s="87" t="s">
        <v>20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8" t="s">
        <v>23</v>
      </c>
      <c r="Y1" s="88"/>
      <c r="Z1" s="88"/>
      <c r="AA1" s="88"/>
      <c r="AB1" s="88"/>
      <c r="AC1" s="88"/>
      <c r="AD1" s="88"/>
      <c r="AE1" s="88"/>
      <c r="AF1" s="88"/>
      <c r="AG1" s="88"/>
      <c r="AH1" s="89"/>
      <c r="AI1" s="75" t="s">
        <v>24</v>
      </c>
      <c r="AJ1" s="76"/>
      <c r="AK1" s="77"/>
      <c r="AL1" s="16"/>
    </row>
    <row r="2" spans="1:38" ht="12.75" customHeight="1" x14ac:dyDescent="0.3">
      <c r="A2" s="96" t="s">
        <v>11</v>
      </c>
      <c r="B2" s="98" t="s">
        <v>12</v>
      </c>
      <c r="C2" s="99"/>
      <c r="D2" s="99"/>
      <c r="E2" s="99"/>
      <c r="F2" s="100"/>
      <c r="G2" s="5"/>
      <c r="H2" s="104"/>
      <c r="I2" s="105"/>
      <c r="J2" s="105"/>
      <c r="K2" s="105"/>
      <c r="L2" s="105"/>
      <c r="M2" s="105"/>
      <c r="N2" s="105"/>
      <c r="O2" s="105"/>
      <c r="P2" s="105"/>
      <c r="Q2" s="9"/>
      <c r="R2" s="9"/>
      <c r="S2" s="9"/>
      <c r="T2" s="9"/>
      <c r="U2" s="106" t="s">
        <v>13</v>
      </c>
      <c r="V2" s="106"/>
      <c r="W2" s="106"/>
      <c r="X2" s="78" t="s">
        <v>14</v>
      </c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1"/>
      <c r="AL2" s="16"/>
    </row>
    <row r="3" spans="1:38" ht="27" customHeight="1" x14ac:dyDescent="0.3">
      <c r="A3" s="97"/>
      <c r="B3" s="101"/>
      <c r="C3" s="102"/>
      <c r="D3" s="102"/>
      <c r="E3" s="102"/>
      <c r="F3" s="103"/>
      <c r="G3" s="6"/>
      <c r="H3" s="2" t="str">
        <f>UPPER(TEXT(H4,"DDD"))</f>
        <v>DOM</v>
      </c>
      <c r="I3" s="2" t="str">
        <f t="shared" ref="I3:AJ3" si="0">UPPER(TEXT(I4,"DDD"))</f>
        <v>SEG</v>
      </c>
      <c r="J3" s="2" t="str">
        <f t="shared" si="0"/>
        <v>TER</v>
      </c>
      <c r="K3" s="2" t="str">
        <f t="shared" si="0"/>
        <v>QUA</v>
      </c>
      <c r="L3" s="2" t="str">
        <f t="shared" si="0"/>
        <v>QUI</v>
      </c>
      <c r="M3" s="2" t="str">
        <f t="shared" si="0"/>
        <v>SEX</v>
      </c>
      <c r="N3" s="2" t="str">
        <f t="shared" si="0"/>
        <v>SÁB</v>
      </c>
      <c r="O3" s="2" t="str">
        <f t="shared" si="0"/>
        <v>DOM</v>
      </c>
      <c r="P3" s="2" t="str">
        <f t="shared" si="0"/>
        <v>SEG</v>
      </c>
      <c r="Q3" s="2" t="str">
        <f t="shared" si="0"/>
        <v>TER</v>
      </c>
      <c r="R3" s="2" t="str">
        <f t="shared" si="0"/>
        <v>QUA</v>
      </c>
      <c r="S3" s="2" t="str">
        <f t="shared" si="0"/>
        <v>QUI</v>
      </c>
      <c r="T3" s="2" t="str">
        <f t="shared" si="0"/>
        <v>SEX</v>
      </c>
      <c r="U3" s="2" t="str">
        <f t="shared" si="0"/>
        <v>SÁB</v>
      </c>
      <c r="V3" s="2" t="str">
        <f t="shared" si="0"/>
        <v>DOM</v>
      </c>
      <c r="W3" s="2" t="str">
        <f t="shared" si="0"/>
        <v>SEG</v>
      </c>
      <c r="X3" s="2" t="str">
        <f t="shared" si="0"/>
        <v>TER</v>
      </c>
      <c r="Y3" s="2" t="str">
        <f t="shared" si="0"/>
        <v>QUA</v>
      </c>
      <c r="Z3" s="2" t="str">
        <f t="shared" si="0"/>
        <v>QUI</v>
      </c>
      <c r="AA3" s="2" t="str">
        <f t="shared" si="0"/>
        <v>SEX</v>
      </c>
      <c r="AB3" s="2" t="str">
        <f t="shared" si="0"/>
        <v>SÁB</v>
      </c>
      <c r="AC3" s="2" t="str">
        <f t="shared" si="0"/>
        <v>DOM</v>
      </c>
      <c r="AD3" s="2" t="str">
        <f t="shared" si="0"/>
        <v>SEG</v>
      </c>
      <c r="AE3" s="2" t="str">
        <f t="shared" si="0"/>
        <v>TER</v>
      </c>
      <c r="AF3" s="2" t="str">
        <f t="shared" si="0"/>
        <v>QUA</v>
      </c>
      <c r="AG3" s="2" t="str">
        <f t="shared" si="0"/>
        <v>QUI</v>
      </c>
      <c r="AH3" s="2" t="str">
        <f t="shared" si="0"/>
        <v>SEX</v>
      </c>
      <c r="AI3" s="2" t="str">
        <f t="shared" si="0"/>
        <v>SÁB</v>
      </c>
      <c r="AJ3" s="2" t="str">
        <f t="shared" si="0"/>
        <v>DOM</v>
      </c>
      <c r="AK3" s="3" t="s">
        <v>15</v>
      </c>
      <c r="AL3" s="16"/>
    </row>
    <row r="4" spans="1:38" s="15" customFormat="1" ht="36" customHeight="1" x14ac:dyDescent="0.25">
      <c r="A4" s="4" t="s">
        <v>16</v>
      </c>
      <c r="B4" s="4" t="s">
        <v>19</v>
      </c>
      <c r="C4" s="79" t="s">
        <v>6</v>
      </c>
      <c r="D4" s="80"/>
      <c r="E4" s="4" t="s">
        <v>7</v>
      </c>
      <c r="F4" s="4" t="s">
        <v>8</v>
      </c>
      <c r="G4" s="14" t="s">
        <v>10</v>
      </c>
      <c r="H4" s="13">
        <v>46054</v>
      </c>
      <c r="I4" s="13">
        <f>H4+1</f>
        <v>46055</v>
      </c>
      <c r="J4" s="13">
        <f t="shared" ref="J4:AJ4" si="1">I4+1</f>
        <v>46056</v>
      </c>
      <c r="K4" s="13">
        <f t="shared" si="1"/>
        <v>46057</v>
      </c>
      <c r="L4" s="13">
        <f t="shared" si="1"/>
        <v>46058</v>
      </c>
      <c r="M4" s="13">
        <f t="shared" si="1"/>
        <v>46059</v>
      </c>
      <c r="N4" s="13">
        <f t="shared" si="1"/>
        <v>46060</v>
      </c>
      <c r="O4" s="13">
        <f t="shared" si="1"/>
        <v>46061</v>
      </c>
      <c r="P4" s="13">
        <f t="shared" si="1"/>
        <v>46062</v>
      </c>
      <c r="Q4" s="13">
        <f t="shared" si="1"/>
        <v>46063</v>
      </c>
      <c r="R4" s="13">
        <f t="shared" si="1"/>
        <v>46064</v>
      </c>
      <c r="S4" s="13">
        <f t="shared" si="1"/>
        <v>46065</v>
      </c>
      <c r="T4" s="13">
        <f t="shared" si="1"/>
        <v>46066</v>
      </c>
      <c r="U4" s="13">
        <f t="shared" si="1"/>
        <v>46067</v>
      </c>
      <c r="V4" s="13">
        <f t="shared" si="1"/>
        <v>46068</v>
      </c>
      <c r="W4" s="13">
        <f t="shared" si="1"/>
        <v>46069</v>
      </c>
      <c r="X4" s="13">
        <f t="shared" si="1"/>
        <v>46070</v>
      </c>
      <c r="Y4" s="13">
        <f t="shared" si="1"/>
        <v>46071</v>
      </c>
      <c r="Z4" s="13">
        <f t="shared" si="1"/>
        <v>46072</v>
      </c>
      <c r="AA4" s="13">
        <f t="shared" si="1"/>
        <v>46073</v>
      </c>
      <c r="AB4" s="13">
        <f t="shared" si="1"/>
        <v>46074</v>
      </c>
      <c r="AC4" s="13">
        <f t="shared" si="1"/>
        <v>46075</v>
      </c>
      <c r="AD4" s="13">
        <f t="shared" si="1"/>
        <v>46076</v>
      </c>
      <c r="AE4" s="13">
        <f t="shared" si="1"/>
        <v>46077</v>
      </c>
      <c r="AF4" s="13">
        <f t="shared" si="1"/>
        <v>46078</v>
      </c>
      <c r="AG4" s="13">
        <f t="shared" si="1"/>
        <v>46079</v>
      </c>
      <c r="AH4" s="13">
        <f t="shared" si="1"/>
        <v>46080</v>
      </c>
      <c r="AI4" s="13">
        <f t="shared" si="1"/>
        <v>46081</v>
      </c>
      <c r="AJ4" s="13">
        <f t="shared" si="1"/>
        <v>46082</v>
      </c>
      <c r="AK4" s="12" t="s">
        <v>2</v>
      </c>
      <c r="AL4" s="16"/>
    </row>
    <row r="5" spans="1:38" ht="30" customHeight="1" x14ac:dyDescent="0.25">
      <c r="A5" s="33">
        <v>17866</v>
      </c>
      <c r="B5" s="18" t="s">
        <v>4</v>
      </c>
      <c r="C5" s="83" t="s">
        <v>21</v>
      </c>
      <c r="D5" s="82"/>
      <c r="E5" s="19" t="s">
        <v>22</v>
      </c>
      <c r="F5" s="20">
        <v>36</v>
      </c>
      <c r="G5" s="21">
        <f t="array" ref="G5">SUMPRODUCT((H5:AJ5="SD")+(H5:AJ5="SN")+(H5:AJ5="MT")+(H5:AJ5="8H")+(H5:AJ5="N")+(H5:AJ5="M")+(H5:AJ5="T")+(H5:AJ5="AE")+(H5:AJ5="AB")+(H5:AJ5="AA")+(H5:AJ5="FC"))</f>
        <v>12</v>
      </c>
      <c r="H5" s="24"/>
      <c r="I5" s="27" t="s">
        <v>9</v>
      </c>
      <c r="J5" s="25"/>
      <c r="K5" s="26" t="s">
        <v>9</v>
      </c>
      <c r="L5" s="25"/>
      <c r="M5" s="59" t="s">
        <v>25</v>
      </c>
      <c r="N5" s="29" t="s">
        <v>9</v>
      </c>
      <c r="O5" s="30"/>
      <c r="P5" s="25"/>
      <c r="Q5" s="26" t="s">
        <v>9</v>
      </c>
      <c r="R5" s="27"/>
      <c r="S5" s="26"/>
      <c r="T5" s="25" t="s">
        <v>9</v>
      </c>
      <c r="U5" s="30"/>
      <c r="V5" s="29"/>
      <c r="W5" s="26" t="s">
        <v>9</v>
      </c>
      <c r="X5" s="29"/>
      <c r="Y5" s="26"/>
      <c r="Z5" s="25" t="s">
        <v>9</v>
      </c>
      <c r="AA5" s="26"/>
      <c r="AB5" s="50"/>
      <c r="AC5" s="29" t="s">
        <v>9</v>
      </c>
      <c r="AD5" s="26"/>
      <c r="AE5" s="26" t="s">
        <v>9</v>
      </c>
      <c r="AF5" s="27"/>
      <c r="AG5" s="25" t="s">
        <v>9</v>
      </c>
      <c r="AH5" s="26"/>
      <c r="AI5" s="29" t="s">
        <v>9</v>
      </c>
      <c r="AJ5" s="23"/>
      <c r="AK5" s="11">
        <f>SUMPRODUCT((H5:AJ5="SD")*12 + (H5:AJ5="SN")*12 + (H5:AJ5="MT")*8 + (H5:AJ5="M")*6 + (H5:AJ5="T")*6)</f>
        <v>138</v>
      </c>
      <c r="AL5" s="16"/>
    </row>
    <row r="6" spans="1:38" ht="26.25" customHeight="1" x14ac:dyDescent="0.25">
      <c r="A6" s="32">
        <v>121056</v>
      </c>
      <c r="B6" s="18" t="s">
        <v>5</v>
      </c>
      <c r="C6" s="81" t="s">
        <v>17</v>
      </c>
      <c r="D6" s="82"/>
      <c r="E6" s="19" t="s">
        <v>22</v>
      </c>
      <c r="F6" s="20">
        <v>36</v>
      </c>
      <c r="G6" s="21">
        <f t="array" ref="G6">SUMPRODUCT((H6:AJ6="SD")+(H6:AJ6="SN")+(H6:AJ6="MT")+(H6:AJ6="8H")+(H6:AJ6="N")+(H6:AJ6="M")+(H6:AJ6="T")+(H6:AJ6="AE")+(H6:AJ6="AB")+(H6:AJ6="AA")+(H6:AJ6="FC"))</f>
        <v>12</v>
      </c>
      <c r="H6" s="28" t="s">
        <v>9</v>
      </c>
      <c r="I6" s="27"/>
      <c r="J6" s="25" t="s">
        <v>9</v>
      </c>
      <c r="K6" s="59" t="s">
        <v>25</v>
      </c>
      <c r="L6" s="25" t="s">
        <v>9</v>
      </c>
      <c r="M6" s="26"/>
      <c r="N6" s="29"/>
      <c r="O6" s="30" t="s">
        <v>9</v>
      </c>
      <c r="P6" s="25"/>
      <c r="R6" s="26" t="s">
        <v>9</v>
      </c>
      <c r="S6" s="26" t="s">
        <v>9</v>
      </c>
      <c r="T6" s="25"/>
      <c r="U6" s="56"/>
      <c r="V6" s="30" t="s">
        <v>9</v>
      </c>
      <c r="W6" s="26"/>
      <c r="X6" s="29" t="s">
        <v>9</v>
      </c>
      <c r="Y6" s="26"/>
      <c r="Z6" s="25"/>
      <c r="AA6" s="26" t="s">
        <v>9</v>
      </c>
      <c r="AB6" s="29" t="s">
        <v>9</v>
      </c>
      <c r="AC6" s="30"/>
      <c r="AD6" s="26"/>
      <c r="AE6" s="49"/>
      <c r="AF6" s="25" t="s">
        <v>9</v>
      </c>
      <c r="AH6" s="26"/>
      <c r="AI6" s="31"/>
      <c r="AJ6" s="22"/>
      <c r="AK6" s="11">
        <f>SUMPRODUCT((H6:AJ6="SD")*12 + (H6:AJ6="SN")*12 + (H6:AJ6="MT")*8 + (H6:AJ6="M")*6 + (H6:AJ6="T")*6)</f>
        <v>138</v>
      </c>
      <c r="AL6" s="16"/>
    </row>
    <row r="7" spans="1:38" s="15" customFormat="1" ht="68.25" customHeight="1" x14ac:dyDescent="0.25">
      <c r="A7" s="17"/>
      <c r="B7" s="90" t="s">
        <v>0</v>
      </c>
      <c r="C7" s="90"/>
      <c r="D7" s="90" t="s">
        <v>1</v>
      </c>
      <c r="E7" s="90"/>
      <c r="F7" s="90"/>
      <c r="G7" s="91"/>
      <c r="H7" s="91"/>
      <c r="I7" s="91"/>
      <c r="J7" s="91"/>
      <c r="K7" s="91"/>
      <c r="L7" s="91"/>
      <c r="M7" s="91"/>
      <c r="N7" s="92"/>
      <c r="O7" s="93" t="s">
        <v>18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73"/>
      <c r="AL7" s="74"/>
    </row>
    <row r="8" spans="1:38" s="15" customFormat="1" x14ac:dyDescent="0.25"/>
    <row r="9" spans="1:38" s="15" customFormat="1" x14ac:dyDescent="0.25"/>
    <row r="10" spans="1:38" s="15" customFormat="1" x14ac:dyDescent="0.25"/>
    <row r="11" spans="1:38" s="15" customFormat="1" x14ac:dyDescent="0.25"/>
    <row r="12" spans="1:38" s="15" customFormat="1" x14ac:dyDescent="0.25"/>
    <row r="13" spans="1:38" s="15" customFormat="1" x14ac:dyDescent="0.25"/>
    <row r="14" spans="1:38" s="15" customFormat="1" x14ac:dyDescent="0.25"/>
    <row r="15" spans="1:38" s="15" customFormat="1" x14ac:dyDescent="0.25"/>
    <row r="16" spans="1:38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  <row r="23" s="15" customFormat="1" x14ac:dyDescent="0.25"/>
  </sheetData>
  <mergeCells count="19">
    <mergeCell ref="A2:A3"/>
    <mergeCell ref="B2:F3"/>
    <mergeCell ref="H2:K2"/>
    <mergeCell ref="L2:P2"/>
    <mergeCell ref="U2:W2"/>
    <mergeCell ref="C4:D4"/>
    <mergeCell ref="C5:D5"/>
    <mergeCell ref="C6:D6"/>
    <mergeCell ref="D1:F1"/>
    <mergeCell ref="O7:AJ7"/>
    <mergeCell ref="G1:W1"/>
    <mergeCell ref="X1:AH1"/>
    <mergeCell ref="AI1:AK1"/>
    <mergeCell ref="X2:AJ2"/>
    <mergeCell ref="AK7:AL7"/>
    <mergeCell ref="B7:C7"/>
    <mergeCell ref="D7:F7"/>
    <mergeCell ref="G7:K7"/>
    <mergeCell ref="L7:N7"/>
  </mergeCells>
  <pageMargins left="0.25" right="0.25" top="0.75" bottom="0.75" header="0.3" footer="0.3"/>
  <pageSetup paperSize="9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E6F-0ABA-43BC-A001-09045BDE3673}">
  <sheetPr>
    <pageSetUpPr fitToPage="1"/>
  </sheetPr>
  <dimension ref="A1:AO23"/>
  <sheetViews>
    <sheetView showGridLines="0" zoomScale="59" zoomScaleNormal="59" workbookViewId="0">
      <pane xSplit="8" ySplit="4" topLeftCell="I5" activePane="bottomRight" state="frozen"/>
      <selection pane="topRight" activeCell="H1" sqref="H1"/>
      <selection pane="bottomLeft" activeCell="A5" sqref="A5"/>
      <selection pane="bottomRight" sqref="A1:XFD1048576"/>
    </sheetView>
  </sheetViews>
  <sheetFormatPr defaultColWidth="3.77734375" defaultRowHeight="13.2" x14ac:dyDescent="0.25"/>
  <cols>
    <col min="1" max="1" width="12.77734375" customWidth="1"/>
    <col min="2" max="2" width="32.77734375" customWidth="1"/>
    <col min="3" max="3" width="12.6640625" customWidth="1"/>
    <col min="4" max="5" width="16.44140625" customWidth="1"/>
    <col min="6" max="6" width="12.44140625" customWidth="1"/>
    <col min="7" max="7" width="6.6640625" customWidth="1"/>
    <col min="8" max="8" width="7.33203125" customWidth="1"/>
    <col min="9" max="39" width="7.109375" customWidth="1"/>
    <col min="40" max="40" width="10.77734375" customWidth="1"/>
    <col min="41" max="41" width="5.44140625" customWidth="1"/>
  </cols>
  <sheetData>
    <row r="1" spans="1:41" ht="40.5" customHeight="1" x14ac:dyDescent="0.25">
      <c r="A1" s="10"/>
      <c r="B1" s="8"/>
      <c r="C1" s="7"/>
      <c r="D1" s="86"/>
      <c r="E1" s="86"/>
      <c r="F1" s="86"/>
      <c r="G1" s="86"/>
      <c r="H1" s="87" t="s">
        <v>20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8" t="s">
        <v>23</v>
      </c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75" t="s">
        <v>31</v>
      </c>
      <c r="AK1" s="76"/>
      <c r="AL1" s="76"/>
      <c r="AM1" s="76"/>
      <c r="AN1" s="77"/>
      <c r="AO1" s="16"/>
    </row>
    <row r="2" spans="1:41" ht="12.75" customHeight="1" x14ac:dyDescent="0.3">
      <c r="A2" s="96" t="s">
        <v>11</v>
      </c>
      <c r="B2" s="98" t="s">
        <v>12</v>
      </c>
      <c r="C2" s="99"/>
      <c r="D2" s="99"/>
      <c r="E2" s="99"/>
      <c r="F2" s="99"/>
      <c r="G2" s="100"/>
      <c r="H2" s="5"/>
      <c r="I2" s="104"/>
      <c r="J2" s="105"/>
      <c r="K2" s="105"/>
      <c r="L2" s="105"/>
      <c r="M2" s="105"/>
      <c r="N2" s="105"/>
      <c r="O2" s="105"/>
      <c r="P2" s="105"/>
      <c r="Q2" s="105"/>
      <c r="R2" s="9"/>
      <c r="S2" s="9"/>
      <c r="T2" s="9"/>
      <c r="U2" s="9"/>
      <c r="V2" s="106" t="s">
        <v>13</v>
      </c>
      <c r="W2" s="106"/>
      <c r="X2" s="106"/>
      <c r="Y2" s="78" t="s">
        <v>14</v>
      </c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1"/>
      <c r="AO2" s="16"/>
    </row>
    <row r="3" spans="1:41" ht="27" customHeight="1" x14ac:dyDescent="0.3">
      <c r="A3" s="97"/>
      <c r="B3" s="101"/>
      <c r="C3" s="102"/>
      <c r="D3" s="102"/>
      <c r="E3" s="102"/>
      <c r="F3" s="102"/>
      <c r="G3" s="103"/>
      <c r="H3" s="6"/>
      <c r="I3" s="2" t="str">
        <f>UPPER(TEXT(I4,"DDD"))</f>
        <v>DOM</v>
      </c>
      <c r="J3" s="2" t="str">
        <f t="shared" ref="J3:AJ3" si="0">UPPER(TEXT(J4,"DDD"))</f>
        <v>SEG</v>
      </c>
      <c r="K3" s="2" t="str">
        <f t="shared" si="0"/>
        <v>TER</v>
      </c>
      <c r="L3" s="2" t="str">
        <f t="shared" si="0"/>
        <v>QUA</v>
      </c>
      <c r="M3" s="2" t="str">
        <f t="shared" si="0"/>
        <v>QUI</v>
      </c>
      <c r="N3" s="2" t="str">
        <f t="shared" si="0"/>
        <v>SEX</v>
      </c>
      <c r="O3" s="2" t="str">
        <f t="shared" si="0"/>
        <v>SÁB</v>
      </c>
      <c r="P3" s="2" t="str">
        <f t="shared" si="0"/>
        <v>DOM</v>
      </c>
      <c r="Q3" s="2" t="str">
        <f t="shared" si="0"/>
        <v>SEG</v>
      </c>
      <c r="R3" s="2" t="str">
        <f t="shared" si="0"/>
        <v>TER</v>
      </c>
      <c r="S3" s="2" t="str">
        <f t="shared" si="0"/>
        <v>QUA</v>
      </c>
      <c r="T3" s="2" t="str">
        <f t="shared" si="0"/>
        <v>QUI</v>
      </c>
      <c r="U3" s="2" t="str">
        <f t="shared" si="0"/>
        <v>SEX</v>
      </c>
      <c r="V3" s="2" t="str">
        <f t="shared" si="0"/>
        <v>SÁB</v>
      </c>
      <c r="W3" s="2" t="str">
        <f t="shared" si="0"/>
        <v>DOM</v>
      </c>
      <c r="X3" s="2" t="str">
        <f t="shared" si="0"/>
        <v>SEG</v>
      </c>
      <c r="Y3" s="2" t="str">
        <f t="shared" si="0"/>
        <v>TER</v>
      </c>
      <c r="Z3" s="2" t="str">
        <f t="shared" si="0"/>
        <v>QUA</v>
      </c>
      <c r="AA3" s="2" t="str">
        <f t="shared" si="0"/>
        <v>QUI</v>
      </c>
      <c r="AB3" s="2" t="str">
        <f t="shared" si="0"/>
        <v>SEX</v>
      </c>
      <c r="AC3" s="2" t="str">
        <f t="shared" si="0"/>
        <v>SÁB</v>
      </c>
      <c r="AD3" s="2" t="str">
        <f t="shared" si="0"/>
        <v>DOM</v>
      </c>
      <c r="AE3" s="2" t="str">
        <f t="shared" si="0"/>
        <v>SEG</v>
      </c>
      <c r="AF3" s="2" t="str">
        <f t="shared" si="0"/>
        <v>TER</v>
      </c>
      <c r="AG3" s="2" t="str">
        <f t="shared" si="0"/>
        <v>QUA</v>
      </c>
      <c r="AH3" s="2" t="str">
        <f t="shared" si="0"/>
        <v>QUI</v>
      </c>
      <c r="AI3" s="2" t="str">
        <f t="shared" si="0"/>
        <v>SEX</v>
      </c>
      <c r="AJ3" s="2" t="str">
        <f t="shared" si="0"/>
        <v>SÁB</v>
      </c>
      <c r="AK3" s="2" t="s">
        <v>28</v>
      </c>
      <c r="AL3" s="2" t="s">
        <v>29</v>
      </c>
      <c r="AM3" s="2" t="s">
        <v>30</v>
      </c>
      <c r="AN3" s="3" t="s">
        <v>15</v>
      </c>
      <c r="AO3" s="16"/>
    </row>
    <row r="4" spans="1:41" s="15" customFormat="1" ht="36" customHeight="1" x14ac:dyDescent="0.25">
      <c r="A4" s="4" t="s">
        <v>16</v>
      </c>
      <c r="B4" s="4" t="s">
        <v>19</v>
      </c>
      <c r="C4" s="79" t="s">
        <v>6</v>
      </c>
      <c r="D4" s="80"/>
      <c r="E4" s="57" t="s">
        <v>32</v>
      </c>
      <c r="F4" s="4" t="s">
        <v>7</v>
      </c>
      <c r="G4" s="4" t="s">
        <v>8</v>
      </c>
      <c r="H4" s="14" t="s">
        <v>10</v>
      </c>
      <c r="I4" s="13">
        <v>46082</v>
      </c>
      <c r="J4" s="13">
        <v>46083</v>
      </c>
      <c r="K4" s="13">
        <f>J4+1</f>
        <v>46084</v>
      </c>
      <c r="L4" s="13">
        <f t="shared" ref="L4:AJ4" si="1">K4+1</f>
        <v>46085</v>
      </c>
      <c r="M4" s="13">
        <f t="shared" si="1"/>
        <v>46086</v>
      </c>
      <c r="N4" s="13">
        <f t="shared" si="1"/>
        <v>46087</v>
      </c>
      <c r="O4" s="13">
        <f t="shared" si="1"/>
        <v>46088</v>
      </c>
      <c r="P4" s="13">
        <f t="shared" si="1"/>
        <v>46089</v>
      </c>
      <c r="Q4" s="13">
        <f t="shared" si="1"/>
        <v>46090</v>
      </c>
      <c r="R4" s="13">
        <f t="shared" si="1"/>
        <v>46091</v>
      </c>
      <c r="S4" s="13">
        <f t="shared" si="1"/>
        <v>46092</v>
      </c>
      <c r="T4" s="13">
        <f t="shared" si="1"/>
        <v>46093</v>
      </c>
      <c r="U4" s="13">
        <f t="shared" si="1"/>
        <v>46094</v>
      </c>
      <c r="V4" s="13">
        <f t="shared" si="1"/>
        <v>46095</v>
      </c>
      <c r="W4" s="13">
        <f t="shared" si="1"/>
        <v>46096</v>
      </c>
      <c r="X4" s="13">
        <f t="shared" si="1"/>
        <v>46097</v>
      </c>
      <c r="Y4" s="13">
        <f t="shared" si="1"/>
        <v>46098</v>
      </c>
      <c r="Z4" s="13">
        <f t="shared" si="1"/>
        <v>46099</v>
      </c>
      <c r="AA4" s="13">
        <f t="shared" si="1"/>
        <v>46100</v>
      </c>
      <c r="AB4" s="13">
        <f t="shared" si="1"/>
        <v>46101</v>
      </c>
      <c r="AC4" s="13">
        <f t="shared" si="1"/>
        <v>46102</v>
      </c>
      <c r="AD4" s="13">
        <f t="shared" si="1"/>
        <v>46103</v>
      </c>
      <c r="AE4" s="13">
        <f t="shared" si="1"/>
        <v>46104</v>
      </c>
      <c r="AF4" s="13">
        <f t="shared" si="1"/>
        <v>46105</v>
      </c>
      <c r="AG4" s="13">
        <f t="shared" si="1"/>
        <v>46106</v>
      </c>
      <c r="AH4" s="13">
        <f t="shared" si="1"/>
        <v>46107</v>
      </c>
      <c r="AI4" s="13">
        <f t="shared" si="1"/>
        <v>46108</v>
      </c>
      <c r="AJ4" s="13">
        <f t="shared" si="1"/>
        <v>46109</v>
      </c>
      <c r="AK4" s="13">
        <v>46110</v>
      </c>
      <c r="AL4" s="13">
        <v>46111</v>
      </c>
      <c r="AM4" s="13">
        <v>46112</v>
      </c>
      <c r="AN4" s="12" t="s">
        <v>2</v>
      </c>
      <c r="AO4" s="16"/>
    </row>
    <row r="5" spans="1:41" ht="30" customHeight="1" x14ac:dyDescent="0.25">
      <c r="A5" s="33">
        <v>17866</v>
      </c>
      <c r="B5" s="18" t="s">
        <v>4</v>
      </c>
      <c r="C5" s="107" t="s">
        <v>17</v>
      </c>
      <c r="D5" s="82"/>
      <c r="E5" s="58"/>
      <c r="F5" s="36" t="s">
        <v>23</v>
      </c>
      <c r="G5" s="20">
        <v>36</v>
      </c>
      <c r="H5" s="21">
        <f t="array" ref="H5">SUMPRODUCT((I5:AM5="SD")+(I5:AM5="SN")+(I5:AM5="MT")+(I5:AM5="8H")+(I5:AM5="N")+(I5:AM5="M")+(I5:AM5="T")+(I5:AM5="AE")+(I5:AM5="AB")+(I5:AM5="AA")+(I5:AM5="FC"))</f>
        <v>13</v>
      </c>
      <c r="I5" s="24"/>
      <c r="J5" s="26"/>
      <c r="K5" s="25"/>
      <c r="L5" s="26"/>
      <c r="M5" s="62" t="s">
        <v>9</v>
      </c>
      <c r="N5" s="26"/>
      <c r="O5" s="29"/>
      <c r="P5" s="59" t="s">
        <v>9</v>
      </c>
      <c r="Q5" s="25"/>
      <c r="R5" s="26" t="s">
        <v>9</v>
      </c>
      <c r="S5" s="27"/>
      <c r="T5" s="26" t="s">
        <v>9</v>
      </c>
      <c r="U5" s="25"/>
      <c r="V5" s="54"/>
      <c r="W5" s="64" t="s">
        <v>9</v>
      </c>
      <c r="X5" s="26" t="s">
        <v>9</v>
      </c>
      <c r="Y5" s="25"/>
      <c r="Z5" s="26" t="s">
        <v>9</v>
      </c>
      <c r="AA5" s="25"/>
      <c r="AB5" s="26" t="s">
        <v>9</v>
      </c>
      <c r="AC5" s="53"/>
      <c r="AD5" s="29" t="s">
        <v>9</v>
      </c>
      <c r="AE5" s="26"/>
      <c r="AF5" s="26" t="s">
        <v>9</v>
      </c>
      <c r="AG5" s="27"/>
      <c r="AH5" s="25" t="s">
        <v>9</v>
      </c>
      <c r="AI5" s="26"/>
      <c r="AJ5" s="61" t="s">
        <v>9</v>
      </c>
      <c r="AK5" s="29"/>
      <c r="AL5" s="25"/>
      <c r="AM5" s="63" t="s">
        <v>9</v>
      </c>
      <c r="AN5" s="11">
        <f>SUMPRODUCT((I5:AM5="SD")*12 + (I5:AM5="SN")*12 + (I5:AM5="MT")*8 + (I5:AM5="M")*6 + (I5:AM5="T")*6)</f>
        <v>156</v>
      </c>
      <c r="AO5" s="16"/>
    </row>
    <row r="6" spans="1:41" ht="26.25" customHeight="1" x14ac:dyDescent="0.25">
      <c r="A6" s="32">
        <v>121056</v>
      </c>
      <c r="B6" s="18" t="s">
        <v>5</v>
      </c>
      <c r="C6" s="107" t="s">
        <v>17</v>
      </c>
      <c r="D6" s="82"/>
      <c r="E6" s="58">
        <v>374925</v>
      </c>
      <c r="F6" s="36" t="s">
        <v>23</v>
      </c>
      <c r="G6" s="20">
        <v>36</v>
      </c>
      <c r="H6" s="21">
        <f t="array" ref="H6">SUMPRODUCT((I6:AM6="SD")+(I6:AM6="SN")+(I6:AM6="MT")+(I6:AM6="8H")+(I6:AM6="N")+(I6:AM6="M")+(I6:AM6="T")+(I6:AM6="AE")+(I6:AM6="AB")+(I6:AM6="AA")+(I6:AM6="FC"))</f>
        <v>13</v>
      </c>
      <c r="I6" s="28"/>
      <c r="J6" s="27" t="s">
        <v>9</v>
      </c>
      <c r="K6" s="25"/>
      <c r="L6" s="26" t="s">
        <v>9</v>
      </c>
      <c r="M6" s="25"/>
      <c r="N6" s="26" t="s">
        <v>9</v>
      </c>
      <c r="O6" s="29"/>
      <c r="P6" s="30"/>
      <c r="Q6" s="25" t="s">
        <v>9</v>
      </c>
      <c r="S6" s="26" t="s">
        <v>9</v>
      </c>
      <c r="T6" s="26"/>
      <c r="U6" s="25" t="s">
        <v>9</v>
      </c>
      <c r="V6" s="55"/>
      <c r="W6" s="54"/>
      <c r="X6" s="26"/>
      <c r="Y6" s="25" t="s">
        <v>9</v>
      </c>
      <c r="Z6" s="26"/>
      <c r="AA6" s="25" t="s">
        <v>9</v>
      </c>
      <c r="AB6" s="26"/>
      <c r="AC6" s="53"/>
      <c r="AD6" s="50"/>
      <c r="AE6" s="26" t="s">
        <v>9</v>
      </c>
      <c r="AF6" s="52" t="s">
        <v>9</v>
      </c>
      <c r="AG6" s="25" t="s">
        <v>9</v>
      </c>
      <c r="AI6" s="26" t="s">
        <v>9</v>
      </c>
      <c r="AJ6" s="31"/>
      <c r="AK6" s="31"/>
      <c r="AL6" s="26" t="s">
        <v>9</v>
      </c>
      <c r="AM6" s="51"/>
      <c r="AN6" s="11">
        <f>SUMPRODUCT((I6:AM6="SD")*12 + (I6:AM6="SN")*12 + (I6:AM6="MT")*8 + (I6:AM6="M")*6 + (I6:AM6="T")*6)</f>
        <v>156</v>
      </c>
      <c r="AO6" s="16"/>
    </row>
    <row r="7" spans="1:41" s="15" customFormat="1" ht="68.25" customHeight="1" x14ac:dyDescent="0.25">
      <c r="A7" s="17"/>
      <c r="B7" s="90" t="s">
        <v>0</v>
      </c>
      <c r="C7" s="90"/>
      <c r="D7" s="90" t="s">
        <v>1</v>
      </c>
      <c r="E7" s="90"/>
      <c r="F7" s="90"/>
      <c r="G7" s="90"/>
      <c r="H7" s="91"/>
      <c r="I7" s="91"/>
      <c r="J7" s="91"/>
      <c r="K7" s="91"/>
      <c r="L7" s="91"/>
      <c r="M7" s="91"/>
      <c r="N7" s="91"/>
      <c r="O7" s="92"/>
      <c r="P7" s="93" t="s">
        <v>18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73"/>
      <c r="AO7" s="74"/>
    </row>
    <row r="8" spans="1:41" s="15" customFormat="1" x14ac:dyDescent="0.25"/>
    <row r="9" spans="1:41" s="15" customFormat="1" x14ac:dyDescent="0.25"/>
    <row r="10" spans="1:41" s="15" customFormat="1" x14ac:dyDescent="0.25"/>
    <row r="11" spans="1:41" s="15" customFormat="1" x14ac:dyDescent="0.25"/>
    <row r="12" spans="1:41" s="15" customFormat="1" x14ac:dyDescent="0.25"/>
    <row r="13" spans="1:41" s="15" customFormat="1" x14ac:dyDescent="0.25"/>
    <row r="14" spans="1:41" s="15" customFormat="1" x14ac:dyDescent="0.25"/>
    <row r="15" spans="1:41" s="15" customFormat="1" x14ac:dyDescent="0.25"/>
    <row r="16" spans="1:41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  <row r="23" s="15" customFormat="1" x14ac:dyDescent="0.25"/>
  </sheetData>
  <mergeCells count="19">
    <mergeCell ref="D1:G1"/>
    <mergeCell ref="H1:X1"/>
    <mergeCell ref="Y1:AI1"/>
    <mergeCell ref="AJ1:AN1"/>
    <mergeCell ref="A2:A3"/>
    <mergeCell ref="B2:G3"/>
    <mergeCell ref="I2:L2"/>
    <mergeCell ref="M2:Q2"/>
    <mergeCell ref="V2:X2"/>
    <mergeCell ref="Y2:AM2"/>
    <mergeCell ref="H7:L7"/>
    <mergeCell ref="M7:O7"/>
    <mergeCell ref="P7:AM7"/>
    <mergeCell ref="AN7:AO7"/>
    <mergeCell ref="C4:D4"/>
    <mergeCell ref="C5:D5"/>
    <mergeCell ref="C6:D6"/>
    <mergeCell ref="B7:C7"/>
    <mergeCell ref="D7:G7"/>
  </mergeCells>
  <pageMargins left="0.25" right="0.25" top="0.75" bottom="0.75" header="0.3" footer="0.3"/>
  <pageSetup paperSize="9" scale="5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8C77-84A4-47CB-99B6-6EC01231C8AC}">
  <dimension ref="A1:AN22"/>
  <sheetViews>
    <sheetView zoomScale="59" zoomScaleNormal="59" workbookViewId="0">
      <selection sqref="A1:XFD1048576"/>
    </sheetView>
  </sheetViews>
  <sheetFormatPr defaultColWidth="3.77734375" defaultRowHeight="13.2" x14ac:dyDescent="0.25"/>
  <cols>
    <col min="1" max="1" width="12.77734375" customWidth="1"/>
    <col min="2" max="2" width="32.77734375" customWidth="1"/>
    <col min="3" max="3" width="12.6640625" customWidth="1"/>
    <col min="4" max="5" width="16.44140625" customWidth="1"/>
    <col min="6" max="6" width="12.44140625" customWidth="1"/>
    <col min="7" max="7" width="6.6640625" customWidth="1"/>
    <col min="8" max="8" width="7.33203125" customWidth="1"/>
    <col min="9" max="38" width="7.109375" customWidth="1"/>
    <col min="39" max="39" width="10.77734375" customWidth="1"/>
    <col min="40" max="40" width="5.44140625" customWidth="1"/>
  </cols>
  <sheetData>
    <row r="1" spans="1:40" ht="40.5" customHeight="1" x14ac:dyDescent="0.25">
      <c r="A1" s="10"/>
      <c r="B1" s="8"/>
      <c r="C1" s="7"/>
      <c r="D1" s="86"/>
      <c r="E1" s="86"/>
      <c r="F1" s="86"/>
      <c r="G1" s="86"/>
      <c r="H1" s="87" t="s">
        <v>20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8" t="s">
        <v>23</v>
      </c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75" t="s">
        <v>33</v>
      </c>
      <c r="AK1" s="76"/>
      <c r="AL1" s="76"/>
      <c r="AM1" s="77"/>
      <c r="AN1" s="16"/>
    </row>
    <row r="2" spans="1:40" ht="12.75" customHeight="1" x14ac:dyDescent="0.3">
      <c r="A2" s="60" t="s">
        <v>11</v>
      </c>
      <c r="B2" s="98" t="s">
        <v>23</v>
      </c>
      <c r="C2" s="99"/>
      <c r="D2" s="99"/>
      <c r="E2" s="99"/>
      <c r="F2" s="99"/>
      <c r="G2" s="100"/>
      <c r="H2" s="5"/>
      <c r="I2" s="104"/>
      <c r="J2" s="105"/>
      <c r="K2" s="105"/>
      <c r="L2" s="105"/>
      <c r="M2" s="105"/>
      <c r="N2" s="105"/>
      <c r="O2" s="105"/>
      <c r="P2" s="105"/>
      <c r="Q2" s="105"/>
      <c r="R2" s="9"/>
      <c r="S2" s="9"/>
      <c r="T2" s="9"/>
      <c r="U2" s="9"/>
      <c r="V2" s="106" t="s">
        <v>13</v>
      </c>
      <c r="W2" s="106"/>
      <c r="X2" s="106"/>
      <c r="Y2" s="78" t="s">
        <v>14</v>
      </c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1"/>
      <c r="AN2" s="16"/>
    </row>
    <row r="3" spans="1:40" s="15" customFormat="1" ht="36" customHeight="1" x14ac:dyDescent="0.25">
      <c r="A3" s="4" t="s">
        <v>16</v>
      </c>
      <c r="B3" s="4" t="s">
        <v>19</v>
      </c>
      <c r="C3" s="79" t="s">
        <v>6</v>
      </c>
      <c r="D3" s="80"/>
      <c r="E3" s="57" t="s">
        <v>32</v>
      </c>
      <c r="F3" s="4" t="s">
        <v>7</v>
      </c>
      <c r="G3" s="4" t="s">
        <v>8</v>
      </c>
      <c r="H3" s="14" t="s">
        <v>10</v>
      </c>
      <c r="I3" s="13">
        <v>46113</v>
      </c>
      <c r="J3" s="13">
        <v>46114</v>
      </c>
      <c r="K3" s="13">
        <f>J3+1</f>
        <v>46115</v>
      </c>
      <c r="L3" s="13">
        <f t="shared" ref="L3:AJ3" si="0">K3+1</f>
        <v>46116</v>
      </c>
      <c r="M3" s="13">
        <f t="shared" si="0"/>
        <v>46117</v>
      </c>
      <c r="N3" s="13">
        <f t="shared" si="0"/>
        <v>46118</v>
      </c>
      <c r="O3" s="13">
        <f t="shared" si="0"/>
        <v>46119</v>
      </c>
      <c r="P3" s="13">
        <f t="shared" si="0"/>
        <v>46120</v>
      </c>
      <c r="Q3" s="13">
        <f t="shared" si="0"/>
        <v>46121</v>
      </c>
      <c r="R3" s="13">
        <f t="shared" si="0"/>
        <v>46122</v>
      </c>
      <c r="S3" s="13">
        <f t="shared" si="0"/>
        <v>46123</v>
      </c>
      <c r="T3" s="13">
        <f t="shared" si="0"/>
        <v>46124</v>
      </c>
      <c r="U3" s="13">
        <f t="shared" si="0"/>
        <v>46125</v>
      </c>
      <c r="V3" s="13">
        <f t="shared" si="0"/>
        <v>46126</v>
      </c>
      <c r="W3" s="13">
        <f t="shared" si="0"/>
        <v>46127</v>
      </c>
      <c r="X3" s="13">
        <f t="shared" si="0"/>
        <v>46128</v>
      </c>
      <c r="Y3" s="13">
        <f t="shared" si="0"/>
        <v>46129</v>
      </c>
      <c r="Z3" s="13">
        <f t="shared" si="0"/>
        <v>46130</v>
      </c>
      <c r="AA3" s="13">
        <f t="shared" si="0"/>
        <v>46131</v>
      </c>
      <c r="AB3" s="13">
        <f t="shared" si="0"/>
        <v>46132</v>
      </c>
      <c r="AC3" s="13">
        <f t="shared" si="0"/>
        <v>46133</v>
      </c>
      <c r="AD3" s="13">
        <f t="shared" si="0"/>
        <v>46134</v>
      </c>
      <c r="AE3" s="13">
        <f t="shared" si="0"/>
        <v>46135</v>
      </c>
      <c r="AF3" s="13">
        <f t="shared" si="0"/>
        <v>46136</v>
      </c>
      <c r="AG3" s="13">
        <f t="shared" si="0"/>
        <v>46137</v>
      </c>
      <c r="AH3" s="13">
        <f t="shared" si="0"/>
        <v>46138</v>
      </c>
      <c r="AI3" s="13">
        <f t="shared" si="0"/>
        <v>46139</v>
      </c>
      <c r="AJ3" s="13">
        <f t="shared" si="0"/>
        <v>46140</v>
      </c>
      <c r="AK3" s="13">
        <v>46141</v>
      </c>
      <c r="AL3" s="13">
        <v>46142</v>
      </c>
      <c r="AM3" s="12" t="s">
        <v>2</v>
      </c>
      <c r="AN3" s="16"/>
    </row>
    <row r="4" spans="1:40" ht="30" customHeight="1" x14ac:dyDescent="0.25">
      <c r="A4" s="33">
        <v>17866</v>
      </c>
      <c r="B4" s="18" t="s">
        <v>4</v>
      </c>
      <c r="C4" s="107" t="s">
        <v>17</v>
      </c>
      <c r="D4" s="82"/>
      <c r="E4" s="58">
        <v>868984</v>
      </c>
      <c r="F4" s="36" t="s">
        <v>23</v>
      </c>
      <c r="G4" s="20">
        <v>36</v>
      </c>
      <c r="H4" s="21">
        <f t="array" ref="H4">SUMPRODUCT((I4:AL4="SD")+(I4:AL4="SN")+(I4:AL4="MT")+(I4:AL4="8H")+(I4:AL4="N")+(I4:AL4="M")+(I4:AL4="T")+(I4:AL4="AE")+(I4:AL4="AB")+(I4:AL4="AA")+(I4:AL4="FC"))</f>
        <v>12</v>
      </c>
      <c r="I4" s="25" t="s">
        <v>9</v>
      </c>
      <c r="J4" s="26"/>
      <c r="K4" s="25" t="s">
        <v>9</v>
      </c>
      <c r="L4" s="68"/>
      <c r="M4" s="65"/>
      <c r="N4" s="26"/>
      <c r="O4" s="25" t="s">
        <v>9</v>
      </c>
      <c r="P4" s="26"/>
      <c r="Q4" s="25" t="s">
        <v>9</v>
      </c>
      <c r="R4" s="26"/>
      <c r="S4" s="68"/>
      <c r="T4" s="68"/>
      <c r="U4" s="25" t="s">
        <v>9</v>
      </c>
      <c r="V4" s="52"/>
      <c r="W4" s="25" t="s">
        <v>9</v>
      </c>
      <c r="X4" s="26"/>
      <c r="Y4" s="25" t="s">
        <v>9</v>
      </c>
      <c r="Z4" s="68"/>
      <c r="AA4" s="65"/>
      <c r="AB4" s="26"/>
      <c r="AC4" s="25" t="s">
        <v>9</v>
      </c>
      <c r="AD4" s="25"/>
      <c r="AE4" s="26" t="s">
        <v>9</v>
      </c>
      <c r="AF4" s="26"/>
      <c r="AG4" s="68" t="s">
        <v>9</v>
      </c>
      <c r="AH4" s="65"/>
      <c r="AI4" s="26" t="s">
        <v>9</v>
      </c>
      <c r="AJ4" s="25"/>
      <c r="AK4" s="25" t="s">
        <v>9</v>
      </c>
      <c r="AL4" s="25"/>
      <c r="AM4" s="11">
        <v>144</v>
      </c>
      <c r="AN4" s="16"/>
    </row>
    <row r="5" spans="1:40" ht="26.25" customHeight="1" x14ac:dyDescent="0.25">
      <c r="A5" s="32">
        <v>121056</v>
      </c>
      <c r="B5" s="18" t="s">
        <v>5</v>
      </c>
      <c r="C5" s="107" t="s">
        <v>17</v>
      </c>
      <c r="D5" s="82"/>
      <c r="E5" s="58">
        <v>374925</v>
      </c>
      <c r="F5" s="36" t="s">
        <v>23</v>
      </c>
      <c r="G5" s="20">
        <v>36</v>
      </c>
      <c r="H5" s="21">
        <f t="array" ref="H5">SUMPRODUCT((I5:AL5="SD")+(I5:AL5="SN")+(I5:AL5="MT")+(I5:AL5="8H")+(I5:AL5="N")+(I5:AL5="M")+(I5:AL5="T")+(I5:AL5="AE")+(I5:AL5="AB")+(I5:AL5="AA")+(I5:AL5="FC"))</f>
        <v>12</v>
      </c>
      <c r="I5" s="26"/>
      <c r="J5" s="27" t="s">
        <v>9</v>
      </c>
      <c r="K5" s="25"/>
      <c r="L5" s="68"/>
      <c r="M5" s="65"/>
      <c r="N5" s="26" t="s">
        <v>9</v>
      </c>
      <c r="O5" s="25"/>
      <c r="P5" s="26" t="s">
        <v>9</v>
      </c>
      <c r="Q5" s="25"/>
      <c r="R5" s="26" t="s">
        <v>9</v>
      </c>
      <c r="S5" s="68"/>
      <c r="T5" s="68"/>
      <c r="U5" s="25"/>
      <c r="V5" s="26" t="s">
        <v>9</v>
      </c>
      <c r="W5" s="52"/>
      <c r="X5" s="26" t="s">
        <v>9</v>
      </c>
      <c r="Y5" s="25"/>
      <c r="Z5" s="68" t="s">
        <v>9</v>
      </c>
      <c r="AA5" s="65"/>
      <c r="AB5" s="26" t="s">
        <v>9</v>
      </c>
      <c r="AC5" s="66"/>
      <c r="AD5" s="26" t="s">
        <v>9</v>
      </c>
      <c r="AE5" s="26"/>
      <c r="AF5" s="26" t="s">
        <v>9</v>
      </c>
      <c r="AG5" s="65"/>
      <c r="AH5" s="69"/>
      <c r="AI5" s="26"/>
      <c r="AJ5" s="26" t="s">
        <v>9</v>
      </c>
      <c r="AK5" s="67"/>
      <c r="AL5" s="26" t="s">
        <v>9</v>
      </c>
      <c r="AM5" s="11">
        <v>144</v>
      </c>
      <c r="AN5" s="16"/>
    </row>
    <row r="6" spans="1:40" s="15" customFormat="1" ht="68.25" customHeight="1" x14ac:dyDescent="0.25">
      <c r="A6" s="17"/>
      <c r="B6" s="90" t="s">
        <v>0</v>
      </c>
      <c r="C6" s="90"/>
      <c r="D6" s="90" t="s">
        <v>1</v>
      </c>
      <c r="E6" s="90"/>
      <c r="F6" s="90"/>
      <c r="G6" s="90"/>
      <c r="H6" s="91"/>
      <c r="I6" s="91"/>
      <c r="J6" s="91"/>
      <c r="K6" s="91"/>
      <c r="L6" s="91"/>
      <c r="M6" s="91"/>
      <c r="N6" s="91"/>
      <c r="O6" s="92"/>
      <c r="P6" s="93" t="s">
        <v>18</v>
      </c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73"/>
      <c r="AN6" s="74"/>
    </row>
    <row r="7" spans="1:40" s="15" customFormat="1" x14ac:dyDescent="0.25"/>
    <row r="8" spans="1:40" s="15" customFormat="1" x14ac:dyDescent="0.25"/>
    <row r="9" spans="1:40" s="15" customFormat="1" x14ac:dyDescent="0.25"/>
    <row r="10" spans="1:40" s="15" customFormat="1" x14ac:dyDescent="0.25"/>
    <row r="11" spans="1:40" s="15" customFormat="1" x14ac:dyDescent="0.25"/>
    <row r="12" spans="1:40" s="15" customFormat="1" x14ac:dyDescent="0.25"/>
    <row r="13" spans="1:40" s="15" customFormat="1" x14ac:dyDescent="0.25"/>
    <row r="14" spans="1:40" s="15" customFormat="1" x14ac:dyDescent="0.25"/>
    <row r="15" spans="1:40" s="15" customFormat="1" x14ac:dyDescent="0.25"/>
    <row r="16" spans="1:40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</sheetData>
  <mergeCells count="18">
    <mergeCell ref="D1:G1"/>
    <mergeCell ref="H1:X1"/>
    <mergeCell ref="Y1:AI1"/>
    <mergeCell ref="AJ1:AM1"/>
    <mergeCell ref="B2:G2"/>
    <mergeCell ref="I2:L2"/>
    <mergeCell ref="M2:Q2"/>
    <mergeCell ref="V2:X2"/>
    <mergeCell ref="Y2:AL2"/>
    <mergeCell ref="M6:O6"/>
    <mergeCell ref="P6:AL6"/>
    <mergeCell ref="AM6:AN6"/>
    <mergeCell ref="C3:D3"/>
    <mergeCell ref="C4:D4"/>
    <mergeCell ref="C5:D5"/>
    <mergeCell ref="B6:C6"/>
    <mergeCell ref="D6:G6"/>
    <mergeCell ref="H6:L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D946-F4D7-43CE-B80A-9644BAF25D25}">
  <dimension ref="A1:AO22"/>
  <sheetViews>
    <sheetView tabSelected="1" zoomScale="60" zoomScaleNormal="60" workbookViewId="0">
      <selection activeCell="Y5" sqref="Y5"/>
    </sheetView>
  </sheetViews>
  <sheetFormatPr defaultColWidth="3.77734375" defaultRowHeight="13.2" x14ac:dyDescent="0.25"/>
  <cols>
    <col min="1" max="1" width="12.77734375" customWidth="1"/>
    <col min="2" max="2" width="32.77734375" customWidth="1"/>
    <col min="3" max="3" width="12.6640625" customWidth="1"/>
    <col min="4" max="5" width="16.44140625" customWidth="1"/>
    <col min="6" max="6" width="12.44140625" customWidth="1"/>
    <col min="7" max="7" width="6.6640625" customWidth="1"/>
    <col min="8" max="8" width="7.33203125" customWidth="1"/>
    <col min="9" max="39" width="7.109375" customWidth="1"/>
    <col min="40" max="40" width="10.77734375" customWidth="1"/>
    <col min="41" max="41" width="5.44140625" customWidth="1"/>
  </cols>
  <sheetData>
    <row r="1" spans="1:41" ht="40.5" customHeight="1" x14ac:dyDescent="0.25">
      <c r="A1" s="10"/>
      <c r="B1" s="8"/>
      <c r="C1" s="7"/>
      <c r="D1" s="86"/>
      <c r="E1" s="86"/>
      <c r="F1" s="86"/>
      <c r="G1" s="86"/>
      <c r="H1" s="87" t="s">
        <v>20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8" t="s">
        <v>23</v>
      </c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75" t="s">
        <v>34</v>
      </c>
      <c r="AK1" s="76"/>
      <c r="AL1" s="76"/>
      <c r="AM1" s="76"/>
      <c r="AN1" s="77"/>
      <c r="AO1" s="16"/>
    </row>
    <row r="2" spans="1:41" ht="12.75" customHeight="1" x14ac:dyDescent="0.3">
      <c r="A2" s="60" t="s">
        <v>11</v>
      </c>
      <c r="B2" s="98" t="s">
        <v>23</v>
      </c>
      <c r="C2" s="99"/>
      <c r="D2" s="99"/>
      <c r="E2" s="99"/>
      <c r="F2" s="99"/>
      <c r="G2" s="100"/>
      <c r="H2" s="5"/>
      <c r="I2" s="104"/>
      <c r="J2" s="105"/>
      <c r="K2" s="105"/>
      <c r="L2" s="105"/>
      <c r="M2" s="105"/>
      <c r="N2" s="105"/>
      <c r="O2" s="105"/>
      <c r="P2" s="105"/>
      <c r="Q2" s="105"/>
      <c r="R2" s="9"/>
      <c r="S2" s="9"/>
      <c r="T2" s="9"/>
      <c r="U2" s="9"/>
      <c r="V2" s="106" t="s">
        <v>13</v>
      </c>
      <c r="W2" s="106"/>
      <c r="X2" s="106"/>
      <c r="Y2" s="78" t="s">
        <v>14</v>
      </c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1"/>
      <c r="AO2" s="16"/>
    </row>
    <row r="3" spans="1:41" s="15" customFormat="1" ht="36" customHeight="1" x14ac:dyDescent="0.25">
      <c r="A3" s="4" t="s">
        <v>16</v>
      </c>
      <c r="B3" s="4" t="s">
        <v>19</v>
      </c>
      <c r="C3" s="79" t="s">
        <v>6</v>
      </c>
      <c r="D3" s="80"/>
      <c r="E3" s="57" t="s">
        <v>32</v>
      </c>
      <c r="F3" s="4" t="s">
        <v>7</v>
      </c>
      <c r="G3" s="4" t="s">
        <v>8</v>
      </c>
      <c r="H3" s="14" t="s">
        <v>10</v>
      </c>
      <c r="I3" s="13">
        <v>46143</v>
      </c>
      <c r="J3" s="13">
        <v>46144</v>
      </c>
      <c r="K3" s="13">
        <f>J3+1</f>
        <v>46145</v>
      </c>
      <c r="L3" s="13">
        <f t="shared" ref="L3:AJ3" si="0">K3+1</f>
        <v>46146</v>
      </c>
      <c r="M3" s="13">
        <f t="shared" si="0"/>
        <v>46147</v>
      </c>
      <c r="N3" s="13">
        <f t="shared" si="0"/>
        <v>46148</v>
      </c>
      <c r="O3" s="13">
        <f t="shared" si="0"/>
        <v>46149</v>
      </c>
      <c r="P3" s="13">
        <f t="shared" si="0"/>
        <v>46150</v>
      </c>
      <c r="Q3" s="13">
        <f t="shared" si="0"/>
        <v>46151</v>
      </c>
      <c r="R3" s="13">
        <f t="shared" si="0"/>
        <v>46152</v>
      </c>
      <c r="S3" s="13">
        <f t="shared" si="0"/>
        <v>46153</v>
      </c>
      <c r="T3" s="13">
        <f t="shared" si="0"/>
        <v>46154</v>
      </c>
      <c r="U3" s="13">
        <f t="shared" si="0"/>
        <v>46155</v>
      </c>
      <c r="V3" s="13">
        <f t="shared" si="0"/>
        <v>46156</v>
      </c>
      <c r="W3" s="13">
        <f t="shared" si="0"/>
        <v>46157</v>
      </c>
      <c r="X3" s="13">
        <f t="shared" si="0"/>
        <v>46158</v>
      </c>
      <c r="Y3" s="13">
        <f t="shared" si="0"/>
        <v>46159</v>
      </c>
      <c r="Z3" s="13">
        <f t="shared" si="0"/>
        <v>46160</v>
      </c>
      <c r="AA3" s="13">
        <f t="shared" si="0"/>
        <v>46161</v>
      </c>
      <c r="AB3" s="13">
        <f t="shared" si="0"/>
        <v>46162</v>
      </c>
      <c r="AC3" s="13">
        <f t="shared" si="0"/>
        <v>46163</v>
      </c>
      <c r="AD3" s="13">
        <f t="shared" si="0"/>
        <v>46164</v>
      </c>
      <c r="AE3" s="13">
        <f t="shared" si="0"/>
        <v>46165</v>
      </c>
      <c r="AF3" s="13">
        <f t="shared" si="0"/>
        <v>46166</v>
      </c>
      <c r="AG3" s="13">
        <f t="shared" si="0"/>
        <v>46167</v>
      </c>
      <c r="AH3" s="13">
        <f t="shared" si="0"/>
        <v>46168</v>
      </c>
      <c r="AI3" s="13">
        <f t="shared" si="0"/>
        <v>46169</v>
      </c>
      <c r="AJ3" s="13">
        <f t="shared" si="0"/>
        <v>46170</v>
      </c>
      <c r="AK3" s="13">
        <v>46171</v>
      </c>
      <c r="AL3" s="13">
        <v>46172</v>
      </c>
      <c r="AM3" s="13">
        <v>46173</v>
      </c>
      <c r="AN3" s="12" t="s">
        <v>2</v>
      </c>
      <c r="AO3" s="16"/>
    </row>
    <row r="4" spans="1:41" ht="30" customHeight="1" x14ac:dyDescent="0.25">
      <c r="A4" s="33">
        <v>17866</v>
      </c>
      <c r="B4" s="18" t="s">
        <v>4</v>
      </c>
      <c r="C4" s="107" t="s">
        <v>17</v>
      </c>
      <c r="D4" s="82"/>
      <c r="E4" s="58">
        <v>868984</v>
      </c>
      <c r="F4" s="36" t="s">
        <v>23</v>
      </c>
      <c r="G4" s="20">
        <v>36</v>
      </c>
      <c r="H4" s="21">
        <f t="array" ref="H4">SUMPRODUCT((I4:AM4="SD")+(I4:AM4="SN")+(I4:AM4="MT")+(I4:AM4="8H")+(I4:AM4="N")+(I4:AM4="M")+(I4:AM4="T")+(I4:AM4="AE")+(I4:AM4="AB")+(I4:AM4="AA")+(I4:AM4="FC"))</f>
        <v>13</v>
      </c>
      <c r="I4" s="65" t="s">
        <v>9</v>
      </c>
      <c r="J4" s="68"/>
      <c r="K4" s="65" t="s">
        <v>25</v>
      </c>
      <c r="L4" s="26"/>
      <c r="M4" s="25" t="s">
        <v>9</v>
      </c>
      <c r="N4" s="26"/>
      <c r="O4" s="25" t="s">
        <v>9</v>
      </c>
      <c r="P4" s="26"/>
      <c r="Q4" s="65"/>
      <c r="R4" s="68"/>
      <c r="S4" s="26" t="s">
        <v>9</v>
      </c>
      <c r="T4" s="26"/>
      <c r="U4" s="25" t="s">
        <v>9</v>
      </c>
      <c r="V4" s="52"/>
      <c r="W4" s="25" t="s">
        <v>9</v>
      </c>
      <c r="X4" s="68"/>
      <c r="Y4" s="65"/>
      <c r="Z4" s="26"/>
      <c r="AA4" s="25" t="s">
        <v>9</v>
      </c>
      <c r="AB4" s="26"/>
      <c r="AC4" s="25" t="s">
        <v>9</v>
      </c>
      <c r="AD4" s="25"/>
      <c r="AE4" s="68" t="s">
        <v>9</v>
      </c>
      <c r="AF4" s="68"/>
      <c r="AG4" s="26" t="s">
        <v>9</v>
      </c>
      <c r="AH4" s="25"/>
      <c r="AI4" s="26" t="s">
        <v>9</v>
      </c>
      <c r="AJ4" s="25"/>
      <c r="AK4" s="25" t="s">
        <v>9</v>
      </c>
      <c r="AL4" s="65"/>
      <c r="AM4" s="65"/>
      <c r="AN4" s="11">
        <v>150</v>
      </c>
      <c r="AO4" s="16"/>
    </row>
    <row r="5" spans="1:41" ht="26.25" customHeight="1" x14ac:dyDescent="0.25">
      <c r="A5" s="32">
        <v>121056</v>
      </c>
      <c r="B5" s="18" t="s">
        <v>5</v>
      </c>
      <c r="C5" s="107" t="s">
        <v>17</v>
      </c>
      <c r="D5" s="82"/>
      <c r="E5" s="58">
        <v>374925</v>
      </c>
      <c r="F5" s="36" t="s">
        <v>23</v>
      </c>
      <c r="G5" s="20">
        <v>36</v>
      </c>
      <c r="H5" s="21">
        <f t="array" ref="H5">SUMPRODUCT((I5:AM5="SD")+(I5:AM5="SN")+(I5:AM5="MT")+(I5:AM5="8H")+(I5:AM5="N")+(I5:AM5="M")+(I5:AM5="T")+(I5:AM5="AE")+(I5:AM5="AB")+(I5:AM5="AA")+(I5:AM5="FC"))</f>
        <v>13</v>
      </c>
      <c r="I5" s="68"/>
      <c r="J5" s="68" t="s">
        <v>9</v>
      </c>
      <c r="K5" s="65"/>
      <c r="L5" s="26" t="s">
        <v>9</v>
      </c>
      <c r="M5" s="25"/>
      <c r="N5" s="26" t="s">
        <v>9</v>
      </c>
      <c r="O5" s="25"/>
      <c r="P5" s="26" t="s">
        <v>9</v>
      </c>
      <c r="Q5" s="65"/>
      <c r="R5" s="68"/>
      <c r="S5" s="26"/>
      <c r="T5" s="26" t="s">
        <v>9</v>
      </c>
      <c r="U5" s="25"/>
      <c r="V5" s="26" t="s">
        <v>9</v>
      </c>
      <c r="W5" s="52"/>
      <c r="X5" s="68" t="s">
        <v>25</v>
      </c>
      <c r="Y5" s="65"/>
      <c r="Z5" s="26" t="s">
        <v>9</v>
      </c>
      <c r="AA5" s="25"/>
      <c r="AB5" s="26" t="s">
        <v>9</v>
      </c>
      <c r="AC5" s="72"/>
      <c r="AD5" s="26" t="s">
        <v>9</v>
      </c>
      <c r="AE5" s="68"/>
      <c r="AF5" s="68"/>
      <c r="AG5" s="70"/>
      <c r="AH5" s="26" t="s">
        <v>9</v>
      </c>
      <c r="AI5" s="26"/>
      <c r="AJ5" s="26" t="s">
        <v>9</v>
      </c>
      <c r="AK5" s="26"/>
      <c r="AL5" s="71" t="s">
        <v>9</v>
      </c>
      <c r="AM5" s="68"/>
      <c r="AN5" s="11">
        <v>150</v>
      </c>
      <c r="AO5" s="16"/>
    </row>
    <row r="6" spans="1:41" s="15" customFormat="1" ht="68.25" customHeight="1" x14ac:dyDescent="0.25">
      <c r="A6" s="17"/>
      <c r="B6" s="90" t="s">
        <v>0</v>
      </c>
      <c r="C6" s="90"/>
      <c r="D6" s="90" t="s">
        <v>1</v>
      </c>
      <c r="E6" s="90"/>
      <c r="F6" s="90"/>
      <c r="G6" s="90"/>
      <c r="H6" s="91"/>
      <c r="I6" s="91"/>
      <c r="J6" s="91"/>
      <c r="K6" s="91"/>
      <c r="L6" s="91"/>
      <c r="M6" s="91"/>
      <c r="N6" s="91"/>
      <c r="O6" s="92"/>
      <c r="P6" s="93" t="s">
        <v>18</v>
      </c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73"/>
      <c r="AO6" s="74"/>
    </row>
    <row r="7" spans="1:41" s="15" customFormat="1" x14ac:dyDescent="0.25"/>
    <row r="8" spans="1:41" s="15" customFormat="1" x14ac:dyDescent="0.25"/>
    <row r="9" spans="1:41" s="15" customFormat="1" x14ac:dyDescent="0.25"/>
    <row r="10" spans="1:41" s="15" customFormat="1" x14ac:dyDescent="0.25"/>
    <row r="11" spans="1:41" s="15" customFormat="1" x14ac:dyDescent="0.25"/>
    <row r="12" spans="1:41" s="15" customFormat="1" x14ac:dyDescent="0.25"/>
    <row r="13" spans="1:41" s="15" customFormat="1" x14ac:dyDescent="0.25"/>
    <row r="14" spans="1:41" s="15" customFormat="1" x14ac:dyDescent="0.25"/>
    <row r="15" spans="1:41" s="15" customFormat="1" x14ac:dyDescent="0.25"/>
    <row r="16" spans="1:41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</sheetData>
  <mergeCells count="18">
    <mergeCell ref="M6:O6"/>
    <mergeCell ref="P6:AM6"/>
    <mergeCell ref="AN6:AO6"/>
    <mergeCell ref="C3:D3"/>
    <mergeCell ref="C4:D4"/>
    <mergeCell ref="C5:D5"/>
    <mergeCell ref="B6:C6"/>
    <mergeCell ref="D6:G6"/>
    <mergeCell ref="H6:L6"/>
    <mergeCell ref="D1:G1"/>
    <mergeCell ref="H1:X1"/>
    <mergeCell ref="Y1:AI1"/>
    <mergeCell ref="AJ1:AN1"/>
    <mergeCell ref="B2:G2"/>
    <mergeCell ref="I2:L2"/>
    <mergeCell ref="M2:Q2"/>
    <mergeCell ref="V2:X2"/>
    <mergeCell ref="Y2:AM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CME JAN</vt:lpstr>
      <vt:lpstr>CME FEV</vt:lpstr>
      <vt:lpstr>CME MARÇO</vt:lpstr>
      <vt:lpstr>CME ABRIL</vt:lpstr>
      <vt:lpstr>CME MAIO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Rafaela Farini</cp:lastModifiedBy>
  <cp:lastPrinted>2026-01-15T15:51:52Z</cp:lastPrinted>
  <dcterms:created xsi:type="dcterms:W3CDTF">2025-12-22T23:03:32Z</dcterms:created>
  <dcterms:modified xsi:type="dcterms:W3CDTF">2026-04-10T15:17:04Z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LastSaved">
    <vt:filetime>2025-12-22T00:00:00Z</vt:filetime>
  </property>
</Properties>
</file>