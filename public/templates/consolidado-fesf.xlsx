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moreira\Desktop\CAMILA\DOCUMENTOS\"/>
    </mc:Choice>
  </mc:AlternateContent>
  <xr:revisionPtr revIDLastSave="0" documentId="13_ncr:1_{FE4B5E8B-71A9-4757-8460-0F5B43C92D22}" xr6:coauthVersionLast="47" xr6:coauthVersionMax="47" xr10:uidLastSave="{00000000-0000-0000-0000-000000000000}"/>
  <bookViews>
    <workbookView xWindow="-120" yWindow="-120" windowWidth="29040" windowHeight="15720" xr2:uid="{21D2401E-15DD-4C4D-A230-14E5FF1A8E8A}"/>
  </bookViews>
  <sheets>
    <sheet name="Planilha1" sheetId="1" r:id="rId1"/>
  </sheets>
  <definedNames>
    <definedName name="_xlnm.Print_Area" localSheetId="0">Planilha1!$A$1:$Q$47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9" i="1" l="1"/>
  <c r="K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</calcChain>
</file>

<file path=xl/sharedStrings.xml><?xml version="1.0" encoding="utf-8"?>
<sst xmlns="http://schemas.openxmlformats.org/spreadsheetml/2006/main" count="141" uniqueCount="90">
  <si>
    <t>CÓDIGO:</t>
  </si>
  <si>
    <t>5.11 FML 007</t>
  </si>
  <si>
    <t>REVISÃO:</t>
  </si>
  <si>
    <t>REV 0</t>
  </si>
  <si>
    <t>APROVAÇÃO:</t>
  </si>
  <si>
    <t>PÁGINA:</t>
  </si>
  <si>
    <t>Página 1 de 1</t>
  </si>
  <si>
    <t>DIRETORIA:</t>
  </si>
  <si>
    <t>NÚCLEO:</t>
  </si>
  <si>
    <t>DIRETORIA GERAL (DG)</t>
  </si>
  <si>
    <t>NÚCLEO DE GESTÃO DE PESSOAS (NUGEP)</t>
  </si>
  <si>
    <t>CONSOLIDADO MENSAL DE FREQUÊNCIA</t>
  </si>
  <si>
    <t>INSTRUÇÕES DE PREENCHIMENTO:</t>
  </si>
  <si>
    <t>1 - DATA LIMITE PARA ENVIO: ATÉ DIA 10 DO MÊS SUBSEQUENTE;</t>
  </si>
  <si>
    <t>2 - ADICIONAL NOTURNO É CONSIDERADO A PARTIR DE 22 H ATÉ FINAL DA JORNADA;</t>
  </si>
  <si>
    <t>3 - QUANDO HOUVER FALTA, FAVOR INDICAR OS DIAS NA COLUNA OBSERVAÇÃO;</t>
  </si>
  <si>
    <t>4 - QUANDO HOUVER ATESTADO OU AFASTAMENTO, FAVOR INFORMAR OS DIAS NA COLUNA OBSERVAÇÃO;</t>
  </si>
  <si>
    <t>5 - AS HORAS EXTRAS SERÃO PERMITIDAS DESDE QUE HAJA AUTORIZAÇÃO PARA PAGAMENTO- GESTOR PRECISA VERIFICAR NO CONTRATO</t>
  </si>
  <si>
    <t>6 - AS FREQUÊNCIAS NÃO ENTREGUES ESTARÃO PINTADAS COM A COR PRETA NA PLANILHA.</t>
  </si>
  <si>
    <t>SERVIÇO/PROGRAMA:</t>
  </si>
  <si>
    <t>MATRÍCULA</t>
  </si>
  <si>
    <t>CARGO/FUNÇÃO</t>
  </si>
  <si>
    <t>CPF</t>
  </si>
  <si>
    <t>N.º PLANTÕES DIURNOS</t>
  </si>
  <si>
    <t>N.º PLANTÕES NOTURNOS</t>
  </si>
  <si>
    <t>TOTAL DE PLANTÕES</t>
  </si>
  <si>
    <t>FALTAS (HORAS)</t>
  </si>
  <si>
    <t>DATAS DE FALTAS</t>
  </si>
  <si>
    <t>UNIDADE DE TRABALHO</t>
  </si>
  <si>
    <t>OBSERVAÇÕES</t>
  </si>
  <si>
    <t>GESTOR RESPONSÁVEL                                                                                   (ASS.CARIMBO):</t>
  </si>
  <si>
    <t>DIRETOR DA UNIDADE (ASS./CARIMBO):</t>
  </si>
  <si>
    <t xml:space="preserve">HORAS NOTURNAS </t>
  </si>
  <si>
    <t xml:space="preserve">CENTRO DE CUSTO </t>
  </si>
  <si>
    <t xml:space="preserve">NOME TRABALHADOR </t>
  </si>
  <si>
    <t>PLANTÃO EXTRA</t>
  </si>
  <si>
    <t>N.º M/T</t>
  </si>
  <si>
    <t>HECC</t>
  </si>
  <si>
    <t>CH</t>
  </si>
  <si>
    <t>04516815-12</t>
  </si>
  <si>
    <t xml:space="preserve">Aieza dos Santos Cardoso                                              </t>
  </si>
  <si>
    <t>Fisioterapeuta</t>
  </si>
  <si>
    <t>071802955-07</t>
  </si>
  <si>
    <t xml:space="preserve">Camila Souza Guimarães                                                </t>
  </si>
  <si>
    <t xml:space="preserve">Deivid Silva de Araujo Esquivel                                       </t>
  </si>
  <si>
    <t>6990</t>
  </si>
  <si>
    <t>Edna Francisca da Conceição Correia Neta</t>
  </si>
  <si>
    <t>036160355-03</t>
  </si>
  <si>
    <t>Naiara Souza Lima Alves</t>
  </si>
  <si>
    <t>Simone Rodrigues de Jesus</t>
  </si>
  <si>
    <t>858744785-82</t>
  </si>
  <si>
    <t xml:space="preserve">Gabriela Quirino Belo                                                 </t>
  </si>
  <si>
    <t>856177415-00</t>
  </si>
  <si>
    <t xml:space="preserve">Isabela Lomba Paranhos                                                </t>
  </si>
  <si>
    <t>064736985-07</t>
  </si>
  <si>
    <t xml:space="preserve">Juliana Lima Alexandre Monteiro                                       </t>
  </si>
  <si>
    <t>765915905-44</t>
  </si>
  <si>
    <t xml:space="preserve">Leila Maria Cintra da Cunha Sampaio Oliveira                          </t>
  </si>
  <si>
    <t>959201615-15</t>
  </si>
  <si>
    <t xml:space="preserve">Liane Rego Caribe Ramos                                               </t>
  </si>
  <si>
    <t>Luana Costa Santos Carvalho</t>
  </si>
  <si>
    <t xml:space="preserve">Luciana Almeida dos Santos                                            </t>
  </si>
  <si>
    <t xml:space="preserve">Luciano Hayne Mettig                                                  </t>
  </si>
  <si>
    <t xml:space="preserve">Manuela Silva Costa                                                   </t>
  </si>
  <si>
    <t xml:space="preserve">Michele Coelho Serra Gama                                             </t>
  </si>
  <si>
    <t xml:space="preserve">Raiane Santos Lima                                                    </t>
  </si>
  <si>
    <t xml:space="preserve">Rosangela dos Santos Nascimento da Silva                              </t>
  </si>
  <si>
    <t xml:space="preserve">Rosineide Loreto de Jesus                                             </t>
  </si>
  <si>
    <t xml:space="preserve">Tais Conceicao Damasceno                                              </t>
  </si>
  <si>
    <t xml:space="preserve">Wagner Ferreira Figueredo                                             </t>
  </si>
  <si>
    <t>052.830155-13</t>
  </si>
  <si>
    <t>Jamile Soares dos Reis</t>
  </si>
  <si>
    <t>Fernanda dos Santos Lemos</t>
  </si>
  <si>
    <r>
      <rPr>
        <b/>
        <sz val="16"/>
        <color rgb="FF000000"/>
        <rFont val="Calibri"/>
        <family val="2"/>
        <scheme val="minor"/>
      </rPr>
      <t xml:space="preserve">AGOSTO 2026                                                 </t>
    </r>
    <r>
      <rPr>
        <b/>
        <sz val="16"/>
        <color rgb="FF808080"/>
        <rFont val="Calibri"/>
        <family val="2"/>
        <scheme val="minor"/>
      </rPr>
      <t>(082025)</t>
    </r>
  </si>
  <si>
    <t>/ANO DE REFERÊNCIA: AGOSTO  2026</t>
  </si>
  <si>
    <t>ATESTATDO DE 12/08 A 16/08/2026</t>
  </si>
  <si>
    <t>2 M</t>
  </si>
  <si>
    <t>ATESTADO DIA 20/08/2026</t>
  </si>
  <si>
    <t>2M</t>
  </si>
  <si>
    <t>ATESTADO DIA 06/8 E 07/08/2026</t>
  </si>
  <si>
    <t>1 M</t>
  </si>
  <si>
    <t>ATESTADO DIA 18/08/2026</t>
  </si>
  <si>
    <t>ATESTADO DIAS 02 ;03; 05; 06; 23; 24; 25; 26</t>
  </si>
  <si>
    <t>1M</t>
  </si>
  <si>
    <t>1M1T</t>
  </si>
  <si>
    <t>1M 1T</t>
  </si>
  <si>
    <t>ATESTADO 01/08 E 16/08/2026</t>
  </si>
  <si>
    <t>4M 1T</t>
  </si>
  <si>
    <t>ATESTADO TARDE DIA 28/08/2026</t>
  </si>
  <si>
    <t>ATESTADO DIA 10/08/2026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</si>
</sst>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12" x14ac:knownFonts="1"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  <font>
      <b/>
      <sz val="16"/>
      <name val="Arial Narrow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color rgb="FF000000"/>
      <name val="Arial Narrow"/>
      <family val="2"/>
    </font>
    <font>
      <b/>
      <u/>
      <sz val="16"/>
      <name val="Arial Narrow"/>
      <family val="2"/>
    </font>
    <font>
      <b/>
      <sz val="16"/>
      <color rgb="FF000000"/>
      <name val="Calibri"/>
      <family val="2"/>
      <scheme val="minor"/>
    </font>
    <font>
      <b/>
      <sz val="16"/>
      <color rgb="FF80808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572A7"/>
        <bgColor indexed="64"/>
      </patternFill>
    </fill>
    <fill>
      <patternFill patternType="solid">
        <fgColor rgb="FF79BFB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3D9A8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5" borderId="45" xfId="0" applyFont="1" applyFill="1" applyBorder="1" applyAlignment="1">
      <alignment vertical="center" wrapText="1"/>
    </xf>
    <xf numFmtId="1" fontId="2" fillId="5" borderId="45" xfId="0" applyNumberFormat="1" applyFont="1" applyFill="1" applyBorder="1" applyAlignment="1">
      <alignment horizontal="left" vertical="center" wrapText="1"/>
    </xf>
    <xf numFmtId="0" fontId="2" fillId="5" borderId="45" xfId="0" applyFont="1" applyFill="1" applyBorder="1" applyAlignment="1">
      <alignment horizontal="left" vertical="center" wrapText="1"/>
    </xf>
    <xf numFmtId="0" fontId="2" fillId="5" borderId="4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left" vertical="center"/>
    </xf>
    <xf numFmtId="0" fontId="3" fillId="0" borderId="44" xfId="0" applyFont="1" applyBorder="1" applyAlignment="1" applyProtection="1">
      <alignment horizontal="left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>
      <alignment horizontal="center" vertical="center"/>
    </xf>
    <xf numFmtId="0" fontId="3" fillId="0" borderId="44" xfId="0" applyFont="1" applyBorder="1" applyAlignment="1">
      <alignment horizontal="left"/>
    </xf>
    <xf numFmtId="164" fontId="3" fillId="0" borderId="44" xfId="0" applyNumberFormat="1" applyFont="1" applyBorder="1" applyAlignment="1">
      <alignment horizontal="left"/>
    </xf>
    <xf numFmtId="0" fontId="3" fillId="0" borderId="44" xfId="0" applyFont="1" applyBorder="1"/>
    <xf numFmtId="0" fontId="4" fillId="0" borderId="4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4" fillId="6" borderId="44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4" borderId="34" xfId="0" applyFont="1" applyFill="1" applyBorder="1" applyAlignment="1">
      <alignment horizontal="left" vertical="center"/>
    </xf>
    <xf numFmtId="0" fontId="1" fillId="4" borderId="35" xfId="0" applyFont="1" applyFill="1" applyBorder="1" applyAlignment="1">
      <alignment horizontal="left" vertical="center"/>
    </xf>
    <xf numFmtId="0" fontId="1" fillId="4" borderId="36" xfId="0" applyFont="1" applyFill="1" applyBorder="1" applyAlignment="1">
      <alignment horizontal="left" vertical="center"/>
    </xf>
    <xf numFmtId="0" fontId="1" fillId="4" borderId="37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/>
    </xf>
    <xf numFmtId="0" fontId="9" fillId="3" borderId="23" xfId="0" applyFont="1" applyFill="1" applyBorder="1" applyAlignment="1">
      <alignment horizontal="left" vertical="center"/>
    </xf>
    <xf numFmtId="0" fontId="9" fillId="3" borderId="24" xfId="0" applyFont="1" applyFill="1" applyBorder="1" applyAlignment="1">
      <alignment horizontal="left" vertical="center"/>
    </xf>
    <xf numFmtId="0" fontId="9" fillId="3" borderId="25" xfId="0" applyFont="1" applyFill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4" fillId="3" borderId="41" xfId="0" applyFont="1" applyFill="1" applyBorder="1" applyAlignment="1">
      <alignment horizontal="left" vertical="center"/>
    </xf>
    <xf numFmtId="0" fontId="4" fillId="3" borderId="42" xfId="0" applyFont="1" applyFill="1" applyBorder="1" applyAlignment="1">
      <alignment horizontal="left" vertical="center"/>
    </xf>
    <xf numFmtId="0" fontId="4" fillId="3" borderId="43" xfId="0" applyFont="1" applyFill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3" fillId="5" borderId="47" xfId="0" applyFont="1" applyFill="1" applyBorder="1" applyAlignment="1">
      <alignment horizontal="right" vertical="center" wrapText="1"/>
    </xf>
    <xf numFmtId="0" fontId="3" fillId="5" borderId="48" xfId="0" applyFont="1" applyFill="1" applyBorder="1" applyAlignment="1">
      <alignment horizontal="right"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5" borderId="52" xfId="0" applyFont="1" applyFill="1" applyBorder="1" applyAlignment="1">
      <alignment horizontal="right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150552</xdr:rowOff>
    </xdr:from>
    <xdr:to>
      <xdr:col>3</xdr:col>
      <xdr:colOff>230188</xdr:colOff>
      <xdr:row>2</xdr:row>
      <xdr:rowOff>155420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B0FE2A-4FD8-4C85-A74F-E34CFC813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290" y="150552"/>
          <a:ext cx="1810310" cy="546205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0</xdr:row>
      <xdr:rowOff>174274</xdr:rowOff>
    </xdr:from>
    <xdr:to>
      <xdr:col>15</xdr:col>
      <xdr:colOff>1748790</xdr:colOff>
      <xdr:row>2</xdr:row>
      <xdr:rowOff>155570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351C91-99E4-4049-BCBE-2646DE8B2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7950" y="174274"/>
          <a:ext cx="1695450" cy="511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10ED-5B8D-4B44-93D1-96874A04AC83}">
  <sheetPr>
    <pageSetUpPr fitToPage="1"/>
  </sheetPr>
  <dimension ref="A2:P41"/>
  <sheetViews>
    <sheetView showGridLines="0" tabSelected="1" zoomScale="70" zoomScaleNormal="70" workbookViewId="0">
      <pane ySplit="15" topLeftCell="A16" activePane="bottomLeft" state="frozen"/>
      <selection pane="bottomLeft" activeCell="D15" sqref="D15"/>
    </sheetView>
  </sheetViews>
  <sheetFormatPr defaultColWidth="9.140625" defaultRowHeight="21" x14ac:dyDescent="0.25"/>
  <cols>
    <col min="1" max="1" width="7.7109375" style="18" customWidth="1"/>
    <col min="2" max="2" width="16.7109375" style="27" customWidth="1"/>
    <col min="3" max="3" width="20.5703125" style="28" hidden="1" customWidth="1"/>
    <col min="4" max="4" width="63.42578125" style="29" customWidth="1"/>
    <col min="5" max="5" width="58.7109375" style="28" bestFit="1" customWidth="1"/>
    <col min="6" max="6" width="13.85546875" style="30" bestFit="1" customWidth="1"/>
    <col min="7" max="7" width="19.28515625" style="29" bestFit="1" customWidth="1"/>
    <col min="8" max="8" width="17.140625" style="29" customWidth="1"/>
    <col min="9" max="9" width="16.28515625" style="29" customWidth="1"/>
    <col min="10" max="10" width="13.140625" style="29" customWidth="1"/>
    <col min="11" max="12" width="12.140625" style="29" customWidth="1"/>
    <col min="13" max="13" width="13.85546875" style="29" customWidth="1"/>
    <col min="14" max="14" width="36" style="29" customWidth="1"/>
    <col min="15" max="15" width="16.7109375" style="30" bestFit="1" customWidth="1"/>
    <col min="16" max="16" width="63.42578125" style="29" bestFit="1" customWidth="1"/>
    <col min="17" max="16384" width="9.140625" style="18"/>
  </cols>
  <sheetData>
    <row r="2" spans="1:16" ht="21" customHeight="1" x14ac:dyDescent="0.25">
      <c r="A2" s="32"/>
      <c r="B2" s="33"/>
      <c r="C2" s="33"/>
      <c r="D2" s="14" t="s">
        <v>0</v>
      </c>
      <c r="E2" s="15"/>
      <c r="F2" s="16" t="s">
        <v>1</v>
      </c>
      <c r="G2" s="36" t="s">
        <v>2</v>
      </c>
      <c r="H2" s="37"/>
      <c r="I2" s="17"/>
      <c r="J2" s="17"/>
      <c r="K2" s="17"/>
      <c r="L2" s="17"/>
      <c r="M2" s="38" t="s">
        <v>3</v>
      </c>
      <c r="N2" s="39"/>
      <c r="O2" s="40"/>
      <c r="P2" s="41"/>
    </row>
    <row r="3" spans="1:16" ht="21" customHeight="1" x14ac:dyDescent="0.25">
      <c r="A3" s="34"/>
      <c r="B3" s="35"/>
      <c r="C3" s="35"/>
      <c r="D3" s="19" t="s">
        <v>4</v>
      </c>
      <c r="E3" s="20"/>
      <c r="F3" s="21"/>
      <c r="G3" s="43" t="s">
        <v>5</v>
      </c>
      <c r="H3" s="44"/>
      <c r="I3" s="22"/>
      <c r="J3" s="22"/>
      <c r="K3" s="22"/>
      <c r="L3" s="22"/>
      <c r="M3" s="45" t="s">
        <v>6</v>
      </c>
      <c r="N3" s="46"/>
      <c r="O3" s="47"/>
      <c r="P3" s="42"/>
    </row>
    <row r="4" spans="1:16" x14ac:dyDescent="0.25">
      <c r="A4" s="52" t="s">
        <v>7</v>
      </c>
      <c r="B4" s="53"/>
      <c r="C4" s="53"/>
      <c r="D4" s="53"/>
      <c r="E4" s="53"/>
      <c r="F4" s="54"/>
      <c r="G4" s="55" t="s">
        <v>8</v>
      </c>
      <c r="H4" s="55"/>
      <c r="I4" s="55"/>
      <c r="J4" s="55"/>
      <c r="K4" s="55"/>
      <c r="L4" s="55"/>
      <c r="M4" s="55"/>
      <c r="N4" s="55"/>
      <c r="O4" s="55"/>
      <c r="P4" s="56"/>
    </row>
    <row r="5" spans="1:16" x14ac:dyDescent="0.25">
      <c r="A5" s="57" t="s">
        <v>9</v>
      </c>
      <c r="B5" s="58"/>
      <c r="C5" s="58"/>
      <c r="D5" s="58"/>
      <c r="E5" s="58"/>
      <c r="F5" s="59"/>
      <c r="G5" s="60" t="s">
        <v>10</v>
      </c>
      <c r="H5" s="58"/>
      <c r="I5" s="58"/>
      <c r="J5" s="58"/>
      <c r="K5" s="58"/>
      <c r="L5" s="58"/>
      <c r="M5" s="58"/>
      <c r="N5" s="58"/>
      <c r="O5" s="58"/>
      <c r="P5" s="61"/>
    </row>
    <row r="6" spans="1:16" ht="21.75" thickBot="1" x14ac:dyDescent="0.3">
      <c r="A6" s="62" t="s">
        <v>11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</row>
    <row r="7" spans="1:16" ht="21.75" thickBot="1" x14ac:dyDescent="0.3">
      <c r="A7" s="65" t="s">
        <v>12</v>
      </c>
      <c r="B7" s="66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8"/>
    </row>
    <row r="8" spans="1:16" x14ac:dyDescent="0.25">
      <c r="A8" s="69" t="s">
        <v>13</v>
      </c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</row>
    <row r="9" spans="1:16" x14ac:dyDescent="0.25">
      <c r="A9" s="73" t="s">
        <v>14</v>
      </c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6"/>
    </row>
    <row r="10" spans="1:16" x14ac:dyDescent="0.25">
      <c r="A10" s="73" t="s">
        <v>15</v>
      </c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6"/>
    </row>
    <row r="11" spans="1:16" x14ac:dyDescent="0.25">
      <c r="A11" s="73" t="s">
        <v>16</v>
      </c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6"/>
    </row>
    <row r="12" spans="1:16" ht="21.75" thickBot="1" x14ac:dyDescent="0.3">
      <c r="A12" s="77" t="s">
        <v>17</v>
      </c>
      <c r="B12" s="78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80"/>
    </row>
    <row r="13" spans="1:16" ht="21.75" thickBot="1" x14ac:dyDescent="0.3">
      <c r="A13" s="48" t="s">
        <v>18</v>
      </c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1"/>
    </row>
    <row r="14" spans="1:16" s="24" customFormat="1" ht="21.75" thickBot="1" x14ac:dyDescent="0.3">
      <c r="A14" s="82" t="s">
        <v>19</v>
      </c>
      <c r="B14" s="83"/>
      <c r="C14" s="84"/>
      <c r="D14" s="85" t="s">
        <v>33</v>
      </c>
      <c r="E14" s="85"/>
      <c r="F14" s="85"/>
      <c r="G14" s="86" t="s">
        <v>74</v>
      </c>
      <c r="H14" s="87"/>
      <c r="I14" s="87"/>
      <c r="J14" s="87"/>
      <c r="K14" s="88"/>
      <c r="L14" s="23"/>
      <c r="M14" s="89" t="s">
        <v>73</v>
      </c>
      <c r="N14" s="89"/>
      <c r="O14" s="89"/>
      <c r="P14" s="90"/>
    </row>
    <row r="15" spans="1:16" s="25" customFormat="1" ht="59.25" customHeight="1" x14ac:dyDescent="0.25">
      <c r="A15" s="1"/>
      <c r="B15" s="2" t="s">
        <v>20</v>
      </c>
      <c r="C15" s="4" t="s">
        <v>22</v>
      </c>
      <c r="D15" s="4" t="s">
        <v>34</v>
      </c>
      <c r="E15" s="3" t="s">
        <v>21</v>
      </c>
      <c r="F15" s="4" t="s">
        <v>38</v>
      </c>
      <c r="G15" s="5" t="s">
        <v>23</v>
      </c>
      <c r="H15" s="5" t="s">
        <v>24</v>
      </c>
      <c r="I15" s="5" t="s">
        <v>36</v>
      </c>
      <c r="J15" s="5" t="s">
        <v>25</v>
      </c>
      <c r="K15" s="5" t="s">
        <v>32</v>
      </c>
      <c r="L15" s="4" t="s">
        <v>35</v>
      </c>
      <c r="M15" s="4" t="s">
        <v>26</v>
      </c>
      <c r="N15" s="4" t="s">
        <v>27</v>
      </c>
      <c r="O15" s="4" t="s">
        <v>28</v>
      </c>
      <c r="P15" s="4" t="s">
        <v>29</v>
      </c>
    </row>
    <row r="16" spans="1:16" s="25" customFormat="1" x14ac:dyDescent="0.35">
      <c r="A16" s="6">
        <v>1</v>
      </c>
      <c r="B16" s="10">
        <v>17905</v>
      </c>
      <c r="C16" s="11" t="s">
        <v>39</v>
      </c>
      <c r="D16" s="12" t="s">
        <v>40</v>
      </c>
      <c r="E16" s="12" t="s">
        <v>41</v>
      </c>
      <c r="F16" s="13">
        <v>120</v>
      </c>
      <c r="G16" s="8">
        <v>5</v>
      </c>
      <c r="H16" s="8">
        <v>4</v>
      </c>
      <c r="I16" s="8">
        <v>0</v>
      </c>
      <c r="J16" s="9">
        <f>G16+H16</f>
        <v>9</v>
      </c>
      <c r="K16" s="9">
        <f>H16*9</f>
        <v>36</v>
      </c>
      <c r="L16" s="8"/>
      <c r="M16" s="9"/>
      <c r="N16" s="9"/>
      <c r="O16" s="8" t="s">
        <v>37</v>
      </c>
      <c r="P16" s="7" t="s">
        <v>75</v>
      </c>
    </row>
    <row r="17" spans="1:16" s="25" customFormat="1" x14ac:dyDescent="0.35">
      <c r="A17" s="6">
        <v>2</v>
      </c>
      <c r="B17" s="10">
        <v>1133</v>
      </c>
      <c r="C17" s="11" t="s">
        <v>42</v>
      </c>
      <c r="D17" s="12" t="s">
        <v>43</v>
      </c>
      <c r="E17" s="12" t="s">
        <v>41</v>
      </c>
      <c r="F17" s="13">
        <v>120</v>
      </c>
      <c r="G17" s="8">
        <v>6</v>
      </c>
      <c r="H17" s="8">
        <v>3</v>
      </c>
      <c r="I17" s="8" t="s">
        <v>76</v>
      </c>
      <c r="J17" s="9">
        <f t="shared" ref="J17:J38" si="0">G17+H17</f>
        <v>9</v>
      </c>
      <c r="K17" s="9">
        <f t="shared" ref="K17:K38" si="1">H17*9</f>
        <v>27</v>
      </c>
      <c r="L17" s="8"/>
      <c r="M17" s="9"/>
      <c r="N17" s="9"/>
      <c r="O17" s="8" t="s">
        <v>37</v>
      </c>
      <c r="P17" s="7"/>
    </row>
    <row r="18" spans="1:16" s="25" customFormat="1" x14ac:dyDescent="0.35">
      <c r="A18" s="6">
        <v>3</v>
      </c>
      <c r="B18" s="10">
        <v>17914</v>
      </c>
      <c r="C18" s="11">
        <v>2274251541</v>
      </c>
      <c r="D18" s="12" t="s">
        <v>44</v>
      </c>
      <c r="E18" s="12" t="s">
        <v>41</v>
      </c>
      <c r="F18" s="13">
        <v>120</v>
      </c>
      <c r="G18" s="8">
        <v>6</v>
      </c>
      <c r="H18" s="8">
        <v>3</v>
      </c>
      <c r="I18" s="8">
        <v>0</v>
      </c>
      <c r="J18" s="9">
        <f t="shared" si="0"/>
        <v>9</v>
      </c>
      <c r="K18" s="9">
        <f t="shared" si="1"/>
        <v>27</v>
      </c>
      <c r="L18" s="8"/>
      <c r="M18" s="9"/>
      <c r="N18" s="9"/>
      <c r="O18" s="8" t="s">
        <v>37</v>
      </c>
      <c r="P18" s="7" t="s">
        <v>77</v>
      </c>
    </row>
    <row r="19" spans="1:16" s="25" customFormat="1" x14ac:dyDescent="0.35">
      <c r="A19" s="6">
        <v>4</v>
      </c>
      <c r="B19" s="10" t="s">
        <v>45</v>
      </c>
      <c r="C19" s="11">
        <v>4849966578</v>
      </c>
      <c r="D19" s="12" t="s">
        <v>46</v>
      </c>
      <c r="E19" s="12" t="s">
        <v>41</v>
      </c>
      <c r="F19" s="13">
        <v>120</v>
      </c>
      <c r="G19" s="8">
        <v>11</v>
      </c>
      <c r="H19" s="8">
        <v>0</v>
      </c>
      <c r="I19" s="8">
        <v>0</v>
      </c>
      <c r="J19" s="9">
        <f t="shared" si="0"/>
        <v>11</v>
      </c>
      <c r="K19" s="9">
        <f t="shared" si="1"/>
        <v>0</v>
      </c>
      <c r="L19" s="8">
        <v>1</v>
      </c>
      <c r="M19" s="9"/>
      <c r="N19" s="9"/>
      <c r="O19" s="8" t="s">
        <v>37</v>
      </c>
      <c r="P19" s="7"/>
    </row>
    <row r="20" spans="1:16" s="25" customFormat="1" x14ac:dyDescent="0.35">
      <c r="A20" s="6">
        <v>5</v>
      </c>
      <c r="B20" s="10">
        <v>1430</v>
      </c>
      <c r="C20" s="11" t="s">
        <v>47</v>
      </c>
      <c r="D20" s="12" t="s">
        <v>48</v>
      </c>
      <c r="E20" s="12" t="s">
        <v>41</v>
      </c>
      <c r="F20" s="13">
        <v>120</v>
      </c>
      <c r="G20" s="8">
        <v>6</v>
      </c>
      <c r="H20" s="8">
        <v>5</v>
      </c>
      <c r="I20" s="8">
        <v>0</v>
      </c>
      <c r="J20" s="9">
        <f t="shared" si="0"/>
        <v>11</v>
      </c>
      <c r="K20" s="9">
        <f t="shared" si="1"/>
        <v>45</v>
      </c>
      <c r="L20" s="8">
        <v>1</v>
      </c>
      <c r="M20" s="9"/>
      <c r="N20" s="9"/>
      <c r="O20" s="8" t="s">
        <v>37</v>
      </c>
      <c r="P20" s="7"/>
    </row>
    <row r="21" spans="1:16" s="25" customFormat="1" x14ac:dyDescent="0.35">
      <c r="A21" s="6">
        <v>6</v>
      </c>
      <c r="B21" s="10">
        <v>15200</v>
      </c>
      <c r="C21" s="11">
        <v>2866825594</v>
      </c>
      <c r="D21" s="12" t="s">
        <v>49</v>
      </c>
      <c r="E21" s="12" t="s">
        <v>41</v>
      </c>
      <c r="F21" s="13">
        <v>120</v>
      </c>
      <c r="G21" s="8">
        <v>9</v>
      </c>
      <c r="H21" s="8">
        <v>0</v>
      </c>
      <c r="I21" s="8" t="s">
        <v>76</v>
      </c>
      <c r="J21" s="9">
        <f t="shared" si="0"/>
        <v>9</v>
      </c>
      <c r="K21" s="9">
        <f t="shared" si="1"/>
        <v>0</v>
      </c>
      <c r="L21" s="8"/>
      <c r="M21" s="9"/>
      <c r="N21" s="9"/>
      <c r="O21" s="8" t="s">
        <v>37</v>
      </c>
      <c r="P21" s="7"/>
    </row>
    <row r="22" spans="1:16" s="25" customFormat="1" x14ac:dyDescent="0.35">
      <c r="A22" s="6">
        <v>7</v>
      </c>
      <c r="B22" s="10">
        <v>1136</v>
      </c>
      <c r="C22" s="11" t="s">
        <v>50</v>
      </c>
      <c r="D22" s="12" t="s">
        <v>51</v>
      </c>
      <c r="E22" s="12" t="s">
        <v>41</v>
      </c>
      <c r="F22" s="13">
        <v>120</v>
      </c>
      <c r="G22" s="8">
        <v>6</v>
      </c>
      <c r="H22" s="8">
        <v>3</v>
      </c>
      <c r="I22" s="8" t="s">
        <v>76</v>
      </c>
      <c r="J22" s="9">
        <f t="shared" si="0"/>
        <v>9</v>
      </c>
      <c r="K22" s="9">
        <f t="shared" si="1"/>
        <v>27</v>
      </c>
      <c r="L22" s="8"/>
      <c r="M22" s="9"/>
      <c r="N22" s="9"/>
      <c r="O22" s="8" t="s">
        <v>37</v>
      </c>
      <c r="P22" s="7"/>
    </row>
    <row r="23" spans="1:16" s="25" customFormat="1" x14ac:dyDescent="0.35">
      <c r="A23" s="6">
        <v>8</v>
      </c>
      <c r="B23" s="10">
        <v>17887</v>
      </c>
      <c r="C23" s="11" t="s">
        <v>52</v>
      </c>
      <c r="D23" s="12" t="s">
        <v>53</v>
      </c>
      <c r="E23" s="12" t="s">
        <v>41</v>
      </c>
      <c r="F23" s="13">
        <v>120</v>
      </c>
      <c r="G23" s="8">
        <v>4</v>
      </c>
      <c r="H23" s="8">
        <v>6</v>
      </c>
      <c r="I23" s="8">
        <v>0</v>
      </c>
      <c r="J23" s="9">
        <f t="shared" si="0"/>
        <v>10</v>
      </c>
      <c r="K23" s="9">
        <f t="shared" si="1"/>
        <v>54</v>
      </c>
      <c r="L23" s="8"/>
      <c r="M23" s="9"/>
      <c r="N23" s="9"/>
      <c r="O23" s="8" t="s">
        <v>37</v>
      </c>
      <c r="P23" s="7" t="s">
        <v>79</v>
      </c>
    </row>
    <row r="24" spans="1:16" s="25" customFormat="1" x14ac:dyDescent="0.35">
      <c r="A24" s="6">
        <v>9</v>
      </c>
      <c r="B24" s="10">
        <v>17913</v>
      </c>
      <c r="C24" s="11" t="s">
        <v>54</v>
      </c>
      <c r="D24" s="12" t="s">
        <v>55</v>
      </c>
      <c r="E24" s="12" t="s">
        <v>41</v>
      </c>
      <c r="F24" s="13">
        <v>120</v>
      </c>
      <c r="G24" s="8">
        <v>7</v>
      </c>
      <c r="H24" s="8">
        <v>2</v>
      </c>
      <c r="I24" s="8" t="s">
        <v>80</v>
      </c>
      <c r="J24" s="9">
        <f t="shared" si="0"/>
        <v>9</v>
      </c>
      <c r="K24" s="9">
        <f t="shared" si="1"/>
        <v>18</v>
      </c>
      <c r="L24" s="8"/>
      <c r="M24" s="9"/>
      <c r="N24" s="9"/>
      <c r="O24" s="8" t="s">
        <v>37</v>
      </c>
      <c r="P24" s="7" t="s">
        <v>81</v>
      </c>
    </row>
    <row r="25" spans="1:16" s="25" customFormat="1" x14ac:dyDescent="0.35">
      <c r="A25" s="6">
        <v>10</v>
      </c>
      <c r="B25" s="10">
        <v>17890</v>
      </c>
      <c r="C25" s="11" t="s">
        <v>56</v>
      </c>
      <c r="D25" s="12" t="s">
        <v>57</v>
      </c>
      <c r="E25" s="12" t="s">
        <v>41</v>
      </c>
      <c r="F25" s="13">
        <v>120</v>
      </c>
      <c r="G25" s="8">
        <v>0</v>
      </c>
      <c r="H25" s="8">
        <v>5</v>
      </c>
      <c r="I25" s="8">
        <v>0</v>
      </c>
      <c r="J25" s="9">
        <f t="shared" si="0"/>
        <v>5</v>
      </c>
      <c r="K25" s="9">
        <f t="shared" si="1"/>
        <v>45</v>
      </c>
      <c r="L25" s="8"/>
      <c r="M25" s="9"/>
      <c r="N25" s="9"/>
      <c r="O25" s="8" t="s">
        <v>37</v>
      </c>
      <c r="P25" s="7" t="s">
        <v>82</v>
      </c>
    </row>
    <row r="26" spans="1:16" s="25" customFormat="1" x14ac:dyDescent="0.35">
      <c r="A26" s="6">
        <v>11</v>
      </c>
      <c r="B26" s="10">
        <v>17118</v>
      </c>
      <c r="C26" s="11" t="s">
        <v>58</v>
      </c>
      <c r="D26" s="12" t="s">
        <v>59</v>
      </c>
      <c r="E26" s="12" t="s">
        <v>41</v>
      </c>
      <c r="F26" s="13">
        <v>120</v>
      </c>
      <c r="G26" s="8">
        <v>10</v>
      </c>
      <c r="H26" s="8">
        <v>0</v>
      </c>
      <c r="I26" s="8">
        <v>0</v>
      </c>
      <c r="J26" s="9">
        <f t="shared" si="0"/>
        <v>10</v>
      </c>
      <c r="K26" s="9">
        <f t="shared" si="1"/>
        <v>0</v>
      </c>
      <c r="L26" s="8"/>
      <c r="M26" s="9"/>
      <c r="N26" s="9"/>
      <c r="O26" s="8" t="s">
        <v>37</v>
      </c>
      <c r="P26" s="7"/>
    </row>
    <row r="27" spans="1:16" s="25" customFormat="1" x14ac:dyDescent="0.35">
      <c r="A27" s="6">
        <v>12</v>
      </c>
      <c r="B27" s="10">
        <v>17256</v>
      </c>
      <c r="C27" s="11">
        <v>1835272592</v>
      </c>
      <c r="D27" s="12" t="s">
        <v>60</v>
      </c>
      <c r="E27" s="12" t="s">
        <v>41</v>
      </c>
      <c r="F27" s="13">
        <v>120</v>
      </c>
      <c r="G27" s="8">
        <v>8</v>
      </c>
      <c r="H27" s="8">
        <v>2</v>
      </c>
      <c r="I27" s="8">
        <v>0</v>
      </c>
      <c r="J27" s="9">
        <f t="shared" si="0"/>
        <v>10</v>
      </c>
      <c r="K27" s="9">
        <f t="shared" si="1"/>
        <v>18</v>
      </c>
      <c r="L27" s="8"/>
      <c r="M27" s="9"/>
      <c r="N27" s="9"/>
      <c r="O27" s="8" t="s">
        <v>37</v>
      </c>
      <c r="P27" s="7"/>
    </row>
    <row r="28" spans="1:16" s="25" customFormat="1" x14ac:dyDescent="0.35">
      <c r="A28" s="6">
        <v>13</v>
      </c>
      <c r="B28" s="10">
        <v>17929</v>
      </c>
      <c r="C28" s="11">
        <v>61646083504</v>
      </c>
      <c r="D28" s="12" t="s">
        <v>61</v>
      </c>
      <c r="E28" s="12" t="s">
        <v>41</v>
      </c>
      <c r="F28" s="13">
        <v>120</v>
      </c>
      <c r="G28" s="8">
        <v>7</v>
      </c>
      <c r="H28" s="8">
        <v>3</v>
      </c>
      <c r="I28" s="8">
        <v>0</v>
      </c>
      <c r="J28" s="9">
        <f t="shared" si="0"/>
        <v>10</v>
      </c>
      <c r="K28" s="9">
        <f t="shared" si="1"/>
        <v>27</v>
      </c>
      <c r="L28" s="8"/>
      <c r="M28" s="9"/>
      <c r="N28" s="9"/>
      <c r="O28" s="8" t="s">
        <v>37</v>
      </c>
      <c r="P28" s="7"/>
    </row>
    <row r="29" spans="1:16" s="25" customFormat="1" x14ac:dyDescent="0.35">
      <c r="A29" s="6">
        <v>14</v>
      </c>
      <c r="B29" s="10">
        <v>6989</v>
      </c>
      <c r="C29" s="11">
        <v>81455500500</v>
      </c>
      <c r="D29" s="12" t="s">
        <v>62</v>
      </c>
      <c r="E29" s="12" t="s">
        <v>41</v>
      </c>
      <c r="F29" s="13">
        <v>120</v>
      </c>
      <c r="G29" s="8">
        <v>8</v>
      </c>
      <c r="H29" s="8">
        <v>1</v>
      </c>
      <c r="I29" s="8" t="s">
        <v>84</v>
      </c>
      <c r="J29" s="9">
        <f t="shared" si="0"/>
        <v>9</v>
      </c>
      <c r="K29" s="9">
        <f t="shared" si="1"/>
        <v>9</v>
      </c>
      <c r="L29" s="8"/>
      <c r="M29" s="9"/>
      <c r="N29" s="9"/>
      <c r="O29" s="8" t="s">
        <v>37</v>
      </c>
      <c r="P29" s="7"/>
    </row>
    <row r="30" spans="1:16" s="25" customFormat="1" x14ac:dyDescent="0.35">
      <c r="A30" s="6">
        <v>15</v>
      </c>
      <c r="B30" s="10">
        <v>17923</v>
      </c>
      <c r="C30" s="11">
        <v>80061230553</v>
      </c>
      <c r="D30" s="12" t="s">
        <v>63</v>
      </c>
      <c r="E30" s="12" t="s">
        <v>41</v>
      </c>
      <c r="F30" s="13">
        <v>120</v>
      </c>
      <c r="G30" s="8">
        <v>8</v>
      </c>
      <c r="H30" s="8">
        <v>1</v>
      </c>
      <c r="I30" s="8" t="s">
        <v>85</v>
      </c>
      <c r="J30" s="9">
        <f t="shared" si="0"/>
        <v>9</v>
      </c>
      <c r="K30" s="9">
        <f t="shared" si="1"/>
        <v>9</v>
      </c>
      <c r="L30" s="8"/>
      <c r="M30" s="9"/>
      <c r="N30" s="9"/>
      <c r="O30" s="8" t="s">
        <v>37</v>
      </c>
      <c r="P30" s="7"/>
    </row>
    <row r="31" spans="1:16" s="25" customFormat="1" x14ac:dyDescent="0.35">
      <c r="A31" s="6">
        <v>16</v>
      </c>
      <c r="B31" s="10">
        <v>17909</v>
      </c>
      <c r="C31" s="11">
        <v>91459079515</v>
      </c>
      <c r="D31" s="12" t="s">
        <v>64</v>
      </c>
      <c r="E31" s="12" t="s">
        <v>41</v>
      </c>
      <c r="F31" s="13">
        <v>120</v>
      </c>
      <c r="G31" s="8">
        <v>5</v>
      </c>
      <c r="H31" s="8">
        <v>4</v>
      </c>
      <c r="I31" s="8" t="s">
        <v>84</v>
      </c>
      <c r="J31" s="9">
        <f t="shared" si="0"/>
        <v>9</v>
      </c>
      <c r="K31" s="9">
        <f t="shared" si="1"/>
        <v>36</v>
      </c>
      <c r="L31" s="8"/>
      <c r="M31" s="9"/>
      <c r="N31" s="9"/>
      <c r="O31" s="8" t="s">
        <v>37</v>
      </c>
      <c r="P31" s="7"/>
    </row>
    <row r="32" spans="1:16" s="25" customFormat="1" x14ac:dyDescent="0.35">
      <c r="A32" s="6">
        <v>17</v>
      </c>
      <c r="B32" s="10">
        <v>1132</v>
      </c>
      <c r="C32" s="11">
        <v>6816247523</v>
      </c>
      <c r="D32" s="12" t="s">
        <v>65</v>
      </c>
      <c r="E32" s="12" t="s">
        <v>41</v>
      </c>
      <c r="F32" s="13">
        <v>120</v>
      </c>
      <c r="G32" s="8">
        <v>4</v>
      </c>
      <c r="H32" s="8">
        <v>6</v>
      </c>
      <c r="I32" s="8" t="s">
        <v>80</v>
      </c>
      <c r="J32" s="9">
        <f t="shared" si="0"/>
        <v>10</v>
      </c>
      <c r="K32" s="9">
        <f t="shared" si="1"/>
        <v>54</v>
      </c>
      <c r="L32" s="8" t="s">
        <v>83</v>
      </c>
      <c r="M32" s="9"/>
      <c r="N32" s="9"/>
      <c r="O32" s="8" t="s">
        <v>37</v>
      </c>
      <c r="P32" s="7"/>
    </row>
    <row r="33" spans="1:16" s="25" customFormat="1" x14ac:dyDescent="0.35">
      <c r="A33" s="6">
        <v>18</v>
      </c>
      <c r="B33" s="10">
        <v>12138</v>
      </c>
      <c r="C33" s="11">
        <v>3548611583</v>
      </c>
      <c r="D33" s="12" t="s">
        <v>66</v>
      </c>
      <c r="E33" s="12" t="s">
        <v>41</v>
      </c>
      <c r="F33" s="13">
        <v>120</v>
      </c>
      <c r="G33" s="8">
        <v>6</v>
      </c>
      <c r="H33" s="8">
        <v>4</v>
      </c>
      <c r="I33" s="8">
        <v>0</v>
      </c>
      <c r="J33" s="9">
        <f t="shared" si="0"/>
        <v>10</v>
      </c>
      <c r="K33" s="9">
        <f t="shared" si="1"/>
        <v>36</v>
      </c>
      <c r="L33" s="8"/>
      <c r="M33" s="9"/>
      <c r="N33" s="9"/>
      <c r="O33" s="8" t="s">
        <v>37</v>
      </c>
      <c r="P33" s="7" t="s">
        <v>86</v>
      </c>
    </row>
    <row r="34" spans="1:16" s="25" customFormat="1" x14ac:dyDescent="0.35">
      <c r="A34" s="6">
        <v>19</v>
      </c>
      <c r="B34" s="10">
        <v>170212</v>
      </c>
      <c r="C34" s="11">
        <v>81256850578</v>
      </c>
      <c r="D34" s="12" t="s">
        <v>67</v>
      </c>
      <c r="E34" s="12" t="s">
        <v>41</v>
      </c>
      <c r="F34" s="13">
        <v>120</v>
      </c>
      <c r="G34" s="8">
        <v>10</v>
      </c>
      <c r="H34" s="8">
        <v>0</v>
      </c>
      <c r="I34" s="8" t="s">
        <v>78</v>
      </c>
      <c r="J34" s="9">
        <f t="shared" si="0"/>
        <v>10</v>
      </c>
      <c r="K34" s="9">
        <f t="shared" si="1"/>
        <v>0</v>
      </c>
      <c r="L34" s="8">
        <v>1</v>
      </c>
      <c r="M34" s="9"/>
      <c r="N34" s="9"/>
      <c r="O34" s="8" t="s">
        <v>37</v>
      </c>
      <c r="P34" s="7"/>
    </row>
    <row r="35" spans="1:16" s="25" customFormat="1" x14ac:dyDescent="0.35">
      <c r="A35" s="6">
        <v>20</v>
      </c>
      <c r="B35" s="10">
        <v>17894</v>
      </c>
      <c r="C35" s="11">
        <v>4255137501</v>
      </c>
      <c r="D35" s="12" t="s">
        <v>68</v>
      </c>
      <c r="E35" s="12" t="s">
        <v>41</v>
      </c>
      <c r="F35" s="13">
        <v>120</v>
      </c>
      <c r="G35" s="8">
        <v>4</v>
      </c>
      <c r="H35" s="8">
        <v>5</v>
      </c>
      <c r="I35" s="8" t="s">
        <v>76</v>
      </c>
      <c r="J35" s="9">
        <f t="shared" si="0"/>
        <v>9</v>
      </c>
      <c r="K35" s="9">
        <f t="shared" si="1"/>
        <v>45</v>
      </c>
      <c r="L35" s="8"/>
      <c r="M35" s="9"/>
      <c r="N35" s="9"/>
      <c r="O35" s="8" t="s">
        <v>37</v>
      </c>
      <c r="P35" s="7"/>
    </row>
    <row r="36" spans="1:16" s="25" customFormat="1" x14ac:dyDescent="0.35">
      <c r="A36" s="6">
        <v>21</v>
      </c>
      <c r="B36" s="10">
        <v>17450</v>
      </c>
      <c r="C36" s="11">
        <v>1923535510</v>
      </c>
      <c r="D36" s="12" t="s">
        <v>69</v>
      </c>
      <c r="E36" s="12" t="s">
        <v>41</v>
      </c>
      <c r="F36" s="13">
        <v>120</v>
      </c>
      <c r="G36" s="8">
        <v>4</v>
      </c>
      <c r="H36" s="8">
        <v>3</v>
      </c>
      <c r="I36" s="8" t="s">
        <v>87</v>
      </c>
      <c r="J36" s="9">
        <f t="shared" si="0"/>
        <v>7</v>
      </c>
      <c r="K36" s="9">
        <f t="shared" si="1"/>
        <v>27</v>
      </c>
      <c r="L36" s="8"/>
      <c r="M36" s="9"/>
      <c r="N36" s="9"/>
      <c r="O36" s="8" t="s">
        <v>37</v>
      </c>
      <c r="P36" s="7" t="s">
        <v>88</v>
      </c>
    </row>
    <row r="37" spans="1:16" s="25" customFormat="1" x14ac:dyDescent="0.35">
      <c r="A37" s="6">
        <v>22</v>
      </c>
      <c r="B37" s="10">
        <v>15549</v>
      </c>
      <c r="C37" s="11" t="s">
        <v>70</v>
      </c>
      <c r="D37" s="12" t="s">
        <v>71</v>
      </c>
      <c r="E37" s="12" t="s">
        <v>41</v>
      </c>
      <c r="F37" s="13">
        <v>120</v>
      </c>
      <c r="G37" s="8">
        <v>9</v>
      </c>
      <c r="H37" s="8">
        <v>1</v>
      </c>
      <c r="I37" s="8">
        <v>0</v>
      </c>
      <c r="J37" s="9">
        <f t="shared" si="0"/>
        <v>10</v>
      </c>
      <c r="K37" s="9">
        <f t="shared" si="1"/>
        <v>9</v>
      </c>
      <c r="L37" s="8"/>
      <c r="M37" s="9"/>
      <c r="N37" s="9"/>
      <c r="O37" s="8" t="s">
        <v>37</v>
      </c>
      <c r="P37" s="7"/>
    </row>
    <row r="38" spans="1:16" s="25" customFormat="1" x14ac:dyDescent="0.35">
      <c r="A38" s="6">
        <v>23</v>
      </c>
      <c r="B38" s="10">
        <v>1982</v>
      </c>
      <c r="C38" s="31">
        <v>7682396563</v>
      </c>
      <c r="D38" s="12" t="s">
        <v>72</v>
      </c>
      <c r="E38" s="12" t="s">
        <v>41</v>
      </c>
      <c r="F38" s="13">
        <v>120</v>
      </c>
      <c r="G38" s="8">
        <v>8</v>
      </c>
      <c r="H38" s="8">
        <v>0</v>
      </c>
      <c r="I38" s="8" t="s">
        <v>78</v>
      </c>
      <c r="J38" s="9">
        <f t="shared" si="0"/>
        <v>8</v>
      </c>
      <c r="K38" s="9">
        <f t="shared" si="1"/>
        <v>0</v>
      </c>
      <c r="L38" s="8"/>
      <c r="M38" s="9"/>
      <c r="N38" s="9"/>
      <c r="O38" s="8" t="s">
        <v>37</v>
      </c>
      <c r="P38" s="7" t="s">
        <v>89</v>
      </c>
    </row>
    <row r="39" spans="1:16" s="25" customFormat="1" x14ac:dyDescent="0.35">
      <c r="A39" s="6">
        <v>24</v>
      </c>
      <c r="B39" s="10"/>
      <c r="C39" s="11"/>
      <c r="D39" s="12"/>
      <c r="E39" s="12"/>
      <c r="F39" s="13"/>
      <c r="G39" s="8"/>
      <c r="H39" s="8"/>
      <c r="I39" s="8"/>
      <c r="J39" s="9">
        <f t="shared" ref="J39" si="2">G39+H39</f>
        <v>0</v>
      </c>
      <c r="K39" s="9">
        <f t="shared" ref="K39" si="3">H39*9</f>
        <v>0</v>
      </c>
      <c r="L39" s="8"/>
      <c r="M39" s="9"/>
      <c r="N39" s="9"/>
      <c r="O39" s="8" t="s">
        <v>37</v>
      </c>
      <c r="P39" s="7"/>
    </row>
    <row r="40" spans="1:16" ht="57.75" customHeight="1" thickBot="1" x14ac:dyDescent="0.3">
      <c r="A40" s="91" t="s">
        <v>30</v>
      </c>
      <c r="B40" s="92"/>
      <c r="C40" s="92"/>
      <c r="D40" s="93"/>
      <c r="E40" s="94"/>
      <c r="F40" s="95"/>
      <c r="G40" s="91" t="s">
        <v>31</v>
      </c>
      <c r="H40" s="92"/>
      <c r="I40" s="92"/>
      <c r="J40" s="92"/>
      <c r="K40" s="92"/>
      <c r="L40" s="92"/>
      <c r="M40" s="96"/>
      <c r="N40" s="26"/>
      <c r="O40" s="97"/>
      <c r="P40" s="98"/>
    </row>
    <row r="41" spans="1:16" x14ac:dyDescent="0.25">
      <c r="D41" s="81"/>
      <c r="E41" s="81"/>
      <c r="F41" s="81"/>
    </row>
  </sheetData>
  <mergeCells count="27">
    <mergeCell ref="D41:F41"/>
    <mergeCell ref="A14:C14"/>
    <mergeCell ref="D14:F14"/>
    <mergeCell ref="G14:K14"/>
    <mergeCell ref="M14:P14"/>
    <mergeCell ref="A40:C40"/>
    <mergeCell ref="D40:F40"/>
    <mergeCell ref="G40:M40"/>
    <mergeCell ref="O40:P40"/>
    <mergeCell ref="A13:P13"/>
    <mergeCell ref="A4:F4"/>
    <mergeCell ref="G4:P4"/>
    <mergeCell ref="A5:F5"/>
    <mergeCell ref="G5:P5"/>
    <mergeCell ref="A6:P6"/>
    <mergeCell ref="A7:P7"/>
    <mergeCell ref="A8:P8"/>
    <mergeCell ref="A9:P9"/>
    <mergeCell ref="A10:P10"/>
    <mergeCell ref="A11:P11"/>
    <mergeCell ref="A12:P12"/>
    <mergeCell ref="A2:C3"/>
    <mergeCell ref="G2:H2"/>
    <mergeCell ref="M2:O2"/>
    <mergeCell ref="P2:P3"/>
    <mergeCell ref="G3:H3"/>
    <mergeCell ref="M3:O3"/>
  </mergeCells>
  <pageMargins left="0.25" right="0.25" top="0.75" bottom="0.75" header="0.3" footer="0.3"/>
  <pageSetup paperSize="9"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Denize Rocha Gonçalo</dc:creator>
  <cp:lastModifiedBy>Camila Nossa Muniz Moreira</cp:lastModifiedBy>
  <cp:lastPrinted>2026-08-27T18:26:23Z</cp:lastPrinted>
  <dcterms:created xsi:type="dcterms:W3CDTF">2025-09-01T18:36:31Z</dcterms:created>
  <dcterms:modified xsi:type="dcterms:W3CDTF">2026-08-31T18:20:24Z</dcterms:modified>
</cp:coreProperties>
</file>