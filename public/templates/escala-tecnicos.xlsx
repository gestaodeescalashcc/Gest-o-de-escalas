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2eb7ba56c1be47/Área de Trabalho/ESCALAS HECC/"/>
    </mc:Choice>
  </mc:AlternateContent>
  <xr:revisionPtr revIDLastSave="299" documentId="13_ncr:1_{13E966DF-96B3-4DB6-B9AB-ABFC5F323195}" xr6:coauthVersionLast="47" xr6:coauthVersionMax="47" xr10:uidLastSave="{0CFAEA47-56E0-4F27-9739-B25D2DB209D4}"/>
  <bookViews>
    <workbookView xWindow="-108" yWindow="-108" windowWidth="23256" windowHeight="12456" firstSheet="4" activeTab="8" xr2:uid="{00000000-000D-0000-FFFF-FFFF00000000}"/>
  </bookViews>
  <sheets>
    <sheet name="1 ANDAR JANEIRO" sheetId="2" r:id="rId1"/>
    <sheet name="TERREO 1 JANEIRO" sheetId="5" r:id="rId2"/>
    <sheet name="TERREO 1 (FEV)" sheetId="7" r:id="rId3"/>
    <sheet name="1 ANDAR (FEV)" sheetId="6" r:id="rId4"/>
    <sheet name="TERREO (MARÇO)" sheetId="8" r:id="rId5"/>
    <sheet name="1 ANDAR (MARÇO)" sheetId="9" r:id="rId6"/>
    <sheet name="TERREO (ABRIL)" sheetId="10" r:id="rId7"/>
    <sheet name="1 ANDAR (ABRIL)" sheetId="11" r:id="rId8"/>
    <sheet name="MAIO UNIFICADO" sheetId="14" r:id="rId9"/>
  </sheets>
  <calcPr calcId="191029"/>
</workbook>
</file>

<file path=xl/calcChain.xml><?xml version="1.0" encoding="utf-8"?>
<calcChain xmlns="http://schemas.openxmlformats.org/spreadsheetml/2006/main">
  <c r="H3" i="14" l="1"/>
  <c r="H4" i="14"/>
  <c r="I5" i="14"/>
  <c r="I3" i="14" s="1"/>
  <c r="G13" i="11"/>
  <c r="AL33" i="11"/>
  <c r="G33" i="11"/>
  <c r="AL28" i="11"/>
  <c r="G28" i="11"/>
  <c r="AL27" i="11"/>
  <c r="G27" i="11"/>
  <c r="AL26" i="11"/>
  <c r="G26" i="11"/>
  <c r="AL25" i="11"/>
  <c r="G25" i="11"/>
  <c r="AL24" i="11"/>
  <c r="G24" i="11"/>
  <c r="AL23" i="11"/>
  <c r="G23" i="11"/>
  <c r="AL22" i="11"/>
  <c r="G22" i="11"/>
  <c r="AL21" i="11"/>
  <c r="G21" i="11"/>
  <c r="AL20" i="11"/>
  <c r="G20" i="11"/>
  <c r="AL18" i="11"/>
  <c r="G18" i="11"/>
  <c r="AL17" i="11"/>
  <c r="G17" i="11"/>
  <c r="AL16" i="11"/>
  <c r="G16" i="11"/>
  <c r="AL15" i="11"/>
  <c r="G15" i="11"/>
  <c r="AL14" i="11"/>
  <c r="G14" i="11"/>
  <c r="AL13" i="11"/>
  <c r="AL10" i="11"/>
  <c r="G10" i="11"/>
  <c r="AL9" i="11"/>
  <c r="G9" i="11"/>
  <c r="AL8" i="11"/>
  <c r="G8" i="11"/>
  <c r="AL7" i="11"/>
  <c r="G7" i="11"/>
  <c r="AL6" i="11"/>
  <c r="G6" i="11"/>
  <c r="AL5" i="11"/>
  <c r="G5" i="11"/>
  <c r="I4" i="11"/>
  <c r="J4" i="11" s="1"/>
  <c r="H3" i="11"/>
  <c r="AL34" i="10"/>
  <c r="G34" i="10" a="1"/>
  <c r="G34" i="10" s="1"/>
  <c r="AL28" i="10"/>
  <c r="G28" i="10" a="1"/>
  <c r="G28" i="10" s="1"/>
  <c r="AL27" i="10"/>
  <c r="G27" i="10" a="1"/>
  <c r="G27" i="10" s="1"/>
  <c r="AL26" i="10"/>
  <c r="G26" i="10" a="1"/>
  <c r="G26" i="10" s="1"/>
  <c r="AL25" i="10"/>
  <c r="G25" i="10" a="1"/>
  <c r="G25" i="10" s="1"/>
  <c r="AL24" i="10"/>
  <c r="G24" i="10" a="1"/>
  <c r="G24" i="10" s="1"/>
  <c r="G23" i="10" a="1"/>
  <c r="G23" i="10" s="1"/>
  <c r="AL22" i="10"/>
  <c r="G22" i="10" a="1"/>
  <c r="G22" i="10" s="1"/>
  <c r="AL21" i="10"/>
  <c r="G21" i="10" a="1"/>
  <c r="G21" i="10" s="1"/>
  <c r="AL20" i="10"/>
  <c r="G20" i="10" a="1"/>
  <c r="G20" i="10" s="1"/>
  <c r="AL19" i="10"/>
  <c r="G19" i="10" a="1"/>
  <c r="G19" i="10" s="1"/>
  <c r="AL18" i="10"/>
  <c r="G18" i="10" a="1"/>
  <c r="G18" i="10" s="1"/>
  <c r="AL17" i="10"/>
  <c r="G17" i="10" a="1"/>
  <c r="G17" i="10" s="1"/>
  <c r="AL16" i="10"/>
  <c r="G16" i="10" a="1"/>
  <c r="G16" i="10" s="1"/>
  <c r="AL15" i="10"/>
  <c r="G15" i="10" a="1"/>
  <c r="G15" i="10" s="1"/>
  <c r="AL14" i="10"/>
  <c r="G14" i="10" a="1"/>
  <c r="G14" i="10" s="1"/>
  <c r="AL13" i="10"/>
  <c r="G13" i="10" a="1"/>
  <c r="G13" i="10" s="1"/>
  <c r="AL12" i="10"/>
  <c r="G12" i="10" a="1"/>
  <c r="G12" i="10" s="1"/>
  <c r="AL11" i="10"/>
  <c r="G11" i="10" a="1"/>
  <c r="G11" i="10" s="1"/>
  <c r="AL10" i="10"/>
  <c r="G10" i="10" a="1"/>
  <c r="G10" i="10" s="1"/>
  <c r="AL9" i="10"/>
  <c r="G9" i="10" a="1"/>
  <c r="G9" i="10" s="1"/>
  <c r="AL8" i="10"/>
  <c r="G8" i="10" a="1"/>
  <c r="G8" i="10" s="1"/>
  <c r="AL7" i="10"/>
  <c r="G7" i="10" a="1"/>
  <c r="G7" i="10" s="1"/>
  <c r="AL6" i="10"/>
  <c r="I5" i="10"/>
  <c r="J5" i="10" s="1"/>
  <c r="H4" i="10"/>
  <c r="H3" i="10"/>
  <c r="F24" i="7"/>
  <c r="AM36" i="9"/>
  <c r="G36" i="9"/>
  <c r="AM30" i="9"/>
  <c r="G30" i="9"/>
  <c r="AM29" i="9"/>
  <c r="G29" i="9"/>
  <c r="AM28" i="9"/>
  <c r="G28" i="9"/>
  <c r="AM27" i="9"/>
  <c r="G27" i="9"/>
  <c r="AM26" i="9"/>
  <c r="G26" i="9"/>
  <c r="AM25" i="9"/>
  <c r="G25" i="9"/>
  <c r="AM24" i="9"/>
  <c r="G24" i="9"/>
  <c r="AM23" i="9"/>
  <c r="G23" i="9"/>
  <c r="AM22" i="9"/>
  <c r="G22" i="9"/>
  <c r="AM21" i="9"/>
  <c r="G21" i="9"/>
  <c r="AM20" i="9"/>
  <c r="G20" i="9"/>
  <c r="AM19" i="9"/>
  <c r="G19" i="9"/>
  <c r="AM18" i="9"/>
  <c r="G18" i="9"/>
  <c r="AM17" i="9"/>
  <c r="G17" i="9"/>
  <c r="AM16" i="9"/>
  <c r="G16" i="9"/>
  <c r="AM15" i="9"/>
  <c r="G15" i="9"/>
  <c r="AM14" i="9"/>
  <c r="G14" i="9"/>
  <c r="AM13" i="9"/>
  <c r="G13" i="9"/>
  <c r="AM12" i="9"/>
  <c r="G12" i="9"/>
  <c r="AM11" i="9"/>
  <c r="G11" i="9"/>
  <c r="AM10" i="9"/>
  <c r="G10" i="9"/>
  <c r="AM9" i="9"/>
  <c r="G9" i="9"/>
  <c r="AM8" i="9"/>
  <c r="G8" i="9"/>
  <c r="AM6" i="9"/>
  <c r="G6" i="9"/>
  <c r="AM5" i="9"/>
  <c r="G5" i="9"/>
  <c r="I4" i="9"/>
  <c r="J4" i="9" s="1"/>
  <c r="H3" i="9"/>
  <c r="J5" i="14" l="1"/>
  <c r="J4" i="14" s="1"/>
  <c r="I4" i="14"/>
  <c r="I3" i="11"/>
  <c r="J3" i="11"/>
  <c r="K4" i="11"/>
  <c r="K5" i="10"/>
  <c r="J4" i="10"/>
  <c r="J3" i="10"/>
  <c r="I3" i="10"/>
  <c r="I4" i="10"/>
  <c r="K4" i="9"/>
  <c r="J3" i="9"/>
  <c r="I3" i="9"/>
  <c r="AL4" i="8"/>
  <c r="AM42" i="8"/>
  <c r="G42" i="8" a="1"/>
  <c r="G42" i="8" s="1"/>
  <c r="AM34" i="8"/>
  <c r="G34" i="8" a="1"/>
  <c r="G34" i="8" s="1"/>
  <c r="AM33" i="8"/>
  <c r="G33" i="8" a="1"/>
  <c r="G33" i="8" s="1"/>
  <c r="AM32" i="8"/>
  <c r="G32" i="8"/>
  <c r="G32" i="8" a="1"/>
  <c r="AM31" i="8"/>
  <c r="G31" i="8" a="1"/>
  <c r="G31" i="8" s="1"/>
  <c r="AM30" i="8"/>
  <c r="G30" i="8" a="1"/>
  <c r="G30" i="8" s="1"/>
  <c r="AM29" i="8"/>
  <c r="G29" i="8" a="1"/>
  <c r="G29" i="8" s="1"/>
  <c r="AM28" i="8"/>
  <c r="G28" i="8" a="1"/>
  <c r="G28" i="8" s="1"/>
  <c r="AM27" i="8"/>
  <c r="G27" i="8" a="1"/>
  <c r="G27" i="8" s="1"/>
  <c r="G26" i="8" a="1"/>
  <c r="G26" i="8" s="1"/>
  <c r="AM25" i="8"/>
  <c r="G25" i="8" a="1"/>
  <c r="G25" i="8" s="1"/>
  <c r="AM24" i="8"/>
  <c r="G24" i="8" a="1"/>
  <c r="G24" i="8" s="1"/>
  <c r="AM23" i="8"/>
  <c r="G23" i="8" a="1"/>
  <c r="G23" i="8" s="1"/>
  <c r="AM22" i="8"/>
  <c r="G22" i="8" a="1"/>
  <c r="G22" i="8" s="1"/>
  <c r="AM21" i="8"/>
  <c r="G21" i="8" a="1"/>
  <c r="G21" i="8" s="1"/>
  <c r="AM20" i="8"/>
  <c r="G20" i="8" a="1"/>
  <c r="G20" i="8" s="1"/>
  <c r="AM19" i="8"/>
  <c r="G19" i="8" a="1"/>
  <c r="G19" i="8" s="1"/>
  <c r="AM18" i="8"/>
  <c r="G18" i="8" a="1"/>
  <c r="G18" i="8" s="1"/>
  <c r="AM17" i="8"/>
  <c r="G17" i="8" a="1"/>
  <c r="G17" i="8" s="1"/>
  <c r="AM16" i="8"/>
  <c r="G16" i="8" a="1"/>
  <c r="G16" i="8" s="1"/>
  <c r="AM15" i="8"/>
  <c r="G15" i="8" a="1"/>
  <c r="G15" i="8" s="1"/>
  <c r="AM14" i="8"/>
  <c r="G14" i="8" a="1"/>
  <c r="G14" i="8" s="1"/>
  <c r="AM13" i="8"/>
  <c r="G13" i="8" a="1"/>
  <c r="G13" i="8" s="1"/>
  <c r="AM12" i="8"/>
  <c r="G12" i="8" a="1"/>
  <c r="G12" i="8" s="1"/>
  <c r="AM11" i="8"/>
  <c r="G11" i="8" a="1"/>
  <c r="G11" i="8" s="1"/>
  <c r="AM10" i="8"/>
  <c r="G10" i="8" a="1"/>
  <c r="G10" i="8" s="1"/>
  <c r="AM9" i="8"/>
  <c r="G9" i="8" a="1"/>
  <c r="G9" i="8" s="1"/>
  <c r="AM8" i="8"/>
  <c r="G8" i="8" a="1"/>
  <c r="G8" i="8" s="1"/>
  <c r="AM7" i="8"/>
  <c r="G7" i="8" a="1"/>
  <c r="G7" i="8" s="1"/>
  <c r="AM6" i="8"/>
  <c r="G6" i="8" a="1"/>
  <c r="G6" i="8" s="1"/>
  <c r="I5" i="8"/>
  <c r="J5" i="8" s="1"/>
  <c r="H4" i="8"/>
  <c r="H3" i="8"/>
  <c r="AI33" i="7"/>
  <c r="AI34" i="7"/>
  <c r="AI41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H5" i="7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F12" i="7" a="1"/>
  <c r="F12" i="7" s="1"/>
  <c r="F13" i="7" a="1"/>
  <c r="F13" i="7" s="1"/>
  <c r="F14" i="7" a="1"/>
  <c r="F14" i="7" s="1"/>
  <c r="F15" i="7" a="1"/>
  <c r="F15" i="7" s="1"/>
  <c r="F16" i="7" a="1"/>
  <c r="F16" i="7" s="1"/>
  <c r="F22" i="7" a="1"/>
  <c r="F22" i="7" s="1"/>
  <c r="F11" i="7" a="1"/>
  <c r="F11" i="7" s="1"/>
  <c r="F10" i="7" a="1"/>
  <c r="F10" i="7" s="1"/>
  <c r="F8" i="7" a="1"/>
  <c r="F8" i="7" s="1"/>
  <c r="F7" i="7" a="1"/>
  <c r="F7" i="7" s="1"/>
  <c r="F33" i="7" a="1"/>
  <c r="F33" i="7" s="1"/>
  <c r="F9" i="7" a="1"/>
  <c r="F9" i="7" s="1"/>
  <c r="F41" i="7" a="1"/>
  <c r="F41" i="7" s="1"/>
  <c r="F34" i="7" a="1"/>
  <c r="F34" i="7" s="1"/>
  <c r="AI32" i="7"/>
  <c r="F32" i="7" a="1"/>
  <c r="F32" i="7" s="1"/>
  <c r="AI31" i="7"/>
  <c r="F31" i="7" a="1"/>
  <c r="F31" i="7" s="1"/>
  <c r="AI30" i="7"/>
  <c r="F30" i="7" a="1"/>
  <c r="F30" i="7" s="1"/>
  <c r="AI29" i="7"/>
  <c r="F29" i="7" a="1"/>
  <c r="F29" i="7" s="1"/>
  <c r="AI28" i="7"/>
  <c r="F28" i="7" a="1"/>
  <c r="F28" i="7" s="1"/>
  <c r="AI27" i="7"/>
  <c r="F27" i="7" a="1"/>
  <c r="F27" i="7" s="1"/>
  <c r="F26" i="7" a="1"/>
  <c r="F26" i="7" s="1"/>
  <c r="AI25" i="7"/>
  <c r="F25" i="7" a="1"/>
  <c r="F25" i="7" s="1"/>
  <c r="F23" i="7" a="1"/>
  <c r="F23" i="7" s="1"/>
  <c r="F21" i="7" a="1"/>
  <c r="F21" i="7" s="1"/>
  <c r="F20" i="7" a="1"/>
  <c r="F20" i="7" s="1"/>
  <c r="F19" i="7" a="1"/>
  <c r="F19" i="7" s="1"/>
  <c r="F18" i="7" a="1"/>
  <c r="F18" i="7" s="1"/>
  <c r="F17" i="7" a="1"/>
  <c r="F17" i="7" s="1"/>
  <c r="AI6" i="7"/>
  <c r="F6" i="7" a="1"/>
  <c r="F6" i="7" s="1"/>
  <c r="G4" i="7"/>
  <c r="G3" i="7"/>
  <c r="F29" i="6"/>
  <c r="F30" i="6"/>
  <c r="F36" i="6"/>
  <c r="AI36" i="6"/>
  <c r="AI6" i="6"/>
  <c r="J3" i="14" l="1"/>
  <c r="K5" i="14"/>
  <c r="K3" i="11"/>
  <c r="L4" i="11"/>
  <c r="K4" i="10"/>
  <c r="K3" i="10"/>
  <c r="L5" i="10"/>
  <c r="L4" i="9"/>
  <c r="K3" i="9"/>
  <c r="I3" i="8"/>
  <c r="I4" i="8"/>
  <c r="K5" i="8"/>
  <c r="J4" i="8"/>
  <c r="J3" i="8"/>
  <c r="H3" i="7"/>
  <c r="H4" i="7"/>
  <c r="I3" i="7"/>
  <c r="I4" i="7"/>
  <c r="F6" i="6"/>
  <c r="AI7" i="6"/>
  <c r="F8" i="6"/>
  <c r="F9" i="6"/>
  <c r="F10" i="6"/>
  <c r="F7" i="6"/>
  <c r="F25" i="6"/>
  <c r="AI25" i="6"/>
  <c r="AI30" i="6"/>
  <c r="AI29" i="6"/>
  <c r="AI28" i="6"/>
  <c r="F28" i="6"/>
  <c r="AI27" i="6"/>
  <c r="F27" i="6"/>
  <c r="AI26" i="6"/>
  <c r="F26" i="6"/>
  <c r="AI24" i="6"/>
  <c r="F24" i="6"/>
  <c r="AI23" i="6"/>
  <c r="F23" i="6"/>
  <c r="AI22" i="6"/>
  <c r="F22" i="6"/>
  <c r="AI21" i="6"/>
  <c r="F21" i="6"/>
  <c r="AI20" i="6"/>
  <c r="F20" i="6"/>
  <c r="AI19" i="6"/>
  <c r="F19" i="6"/>
  <c r="AI18" i="6"/>
  <c r="F18" i="6"/>
  <c r="AI17" i="6"/>
  <c r="F17" i="6"/>
  <c r="AI16" i="6"/>
  <c r="F16" i="6"/>
  <c r="AI15" i="6"/>
  <c r="F15" i="6"/>
  <c r="AI14" i="6"/>
  <c r="F14" i="6"/>
  <c r="AI13" i="6"/>
  <c r="F13" i="6"/>
  <c r="AI12" i="6"/>
  <c r="F12" i="6"/>
  <c r="AI11" i="6"/>
  <c r="F11" i="6"/>
  <c r="AI10" i="6"/>
  <c r="AI9" i="6"/>
  <c r="AI8" i="6"/>
  <c r="AI5" i="6"/>
  <c r="F5" i="6"/>
  <c r="H4" i="6"/>
  <c r="H3" i="6" s="1"/>
  <c r="G3" i="6"/>
  <c r="L5" i="14" l="1"/>
  <c r="K3" i="14"/>
  <c r="K4" i="14"/>
  <c r="L3" i="11"/>
  <c r="M4" i="11"/>
  <c r="L3" i="10"/>
  <c r="M5" i="10"/>
  <c r="L4" i="10"/>
  <c r="M4" i="9"/>
  <c r="L3" i="9"/>
  <c r="K4" i="8"/>
  <c r="L5" i="8"/>
  <c r="K3" i="8"/>
  <c r="J3" i="7"/>
  <c r="J4" i="7"/>
  <c r="I4" i="6"/>
  <c r="J4" i="6" s="1"/>
  <c r="J3" i="6" s="1"/>
  <c r="AL34" i="5"/>
  <c r="F34" i="5" a="1"/>
  <c r="F34" i="5" s="1"/>
  <c r="AL31" i="2"/>
  <c r="AL32" i="2"/>
  <c r="AL32" i="5"/>
  <c r="AL33" i="5"/>
  <c r="F32" i="5" a="1"/>
  <c r="F32" i="5" s="1"/>
  <c r="F33" i="5" a="1"/>
  <c r="F33" i="5" s="1"/>
  <c r="M5" i="14" l="1"/>
  <c r="L3" i="14"/>
  <c r="L4" i="14"/>
  <c r="N4" i="11"/>
  <c r="M3" i="11"/>
  <c r="N5" i="10"/>
  <c r="M4" i="10"/>
  <c r="M3" i="10"/>
  <c r="N4" i="9"/>
  <c r="M3" i="9"/>
  <c r="L3" i="8"/>
  <c r="M5" i="8"/>
  <c r="L4" i="8"/>
  <c r="K3" i="7"/>
  <c r="K4" i="7"/>
  <c r="K4" i="6"/>
  <c r="I3" i="6"/>
  <c r="K3" i="6"/>
  <c r="L4" i="6"/>
  <c r="AL30" i="2"/>
  <c r="F30" i="2"/>
  <c r="N5" i="14" l="1"/>
  <c r="M3" i="14"/>
  <c r="M4" i="14"/>
  <c r="N3" i="11"/>
  <c r="O4" i="11"/>
  <c r="O5" i="10"/>
  <c r="N4" i="10"/>
  <c r="N3" i="10"/>
  <c r="O4" i="9"/>
  <c r="N3" i="9"/>
  <c r="N5" i="8"/>
  <c r="M4" i="8"/>
  <c r="M3" i="8"/>
  <c r="L3" i="7"/>
  <c r="L4" i="7"/>
  <c r="L3" i="6"/>
  <c r="M4" i="6"/>
  <c r="F28" i="2"/>
  <c r="F29" i="2"/>
  <c r="AL29" i="2"/>
  <c r="N3" i="14" l="1"/>
  <c r="O5" i="14"/>
  <c r="N4" i="14"/>
  <c r="O3" i="11"/>
  <c r="P4" i="11"/>
  <c r="O4" i="10"/>
  <c r="O3" i="10"/>
  <c r="P5" i="10"/>
  <c r="P4" i="9"/>
  <c r="O3" i="9"/>
  <c r="O5" i="8"/>
  <c r="N3" i="8"/>
  <c r="N4" i="8"/>
  <c r="M3" i="7"/>
  <c r="M4" i="7"/>
  <c r="N4" i="6"/>
  <c r="M3" i="6"/>
  <c r="G3" i="5"/>
  <c r="G4" i="5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AL31" i="5"/>
  <c r="AL30" i="5"/>
  <c r="AL29" i="5"/>
  <c r="AL28" i="5"/>
  <c r="AL27" i="5"/>
  <c r="O4" i="14" l="1"/>
  <c r="O3" i="14"/>
  <c r="P5" i="14"/>
  <c r="P3" i="11"/>
  <c r="Q4" i="11"/>
  <c r="P3" i="10"/>
  <c r="Q5" i="10"/>
  <c r="P4" i="10"/>
  <c r="Q4" i="9"/>
  <c r="P3" i="9"/>
  <c r="O4" i="8"/>
  <c r="P5" i="8"/>
  <c r="O3" i="8"/>
  <c r="N3" i="7"/>
  <c r="N4" i="7"/>
  <c r="N3" i="6"/>
  <c r="O4" i="6"/>
  <c r="AL26" i="5"/>
  <c r="F26" i="5" a="1"/>
  <c r="F26" i="5" s="1"/>
  <c r="AL25" i="5"/>
  <c r="F25" i="5" a="1"/>
  <c r="F25" i="5" s="1"/>
  <c r="F24" i="5" a="1"/>
  <c r="F24" i="5" s="1"/>
  <c r="AL23" i="5"/>
  <c r="F23" i="5" a="1"/>
  <c r="F23" i="5" s="1"/>
  <c r="AL22" i="5"/>
  <c r="F22" i="5" a="1"/>
  <c r="F22" i="5" s="1"/>
  <c r="AL21" i="5"/>
  <c r="F21" i="5" a="1"/>
  <c r="F21" i="5" s="1"/>
  <c r="AL20" i="5"/>
  <c r="F20" i="5" a="1"/>
  <c r="F20" i="5" s="1"/>
  <c r="AL19" i="5"/>
  <c r="F19" i="5" a="1"/>
  <c r="F19" i="5" s="1"/>
  <c r="AL18" i="5"/>
  <c r="F18" i="5" a="1"/>
  <c r="F18" i="5" s="1"/>
  <c r="AL17" i="5"/>
  <c r="F17" i="5" a="1"/>
  <c r="F17" i="5" s="1"/>
  <c r="F16" i="5" a="1"/>
  <c r="F16" i="5" s="1"/>
  <c r="AL15" i="5"/>
  <c r="F15" i="5" a="1"/>
  <c r="F15" i="5" s="1"/>
  <c r="AL14" i="5"/>
  <c r="F14" i="5" a="1"/>
  <c r="F14" i="5" s="1"/>
  <c r="AL13" i="5"/>
  <c r="F13" i="5" a="1"/>
  <c r="F13" i="5" s="1"/>
  <c r="AL12" i="5"/>
  <c r="F12" i="5" a="1"/>
  <c r="F12" i="5" s="1"/>
  <c r="AL11" i="5"/>
  <c r="F11" i="5" a="1"/>
  <c r="F11" i="5" s="1"/>
  <c r="AL10" i="5"/>
  <c r="F10" i="5" a="1"/>
  <c r="F10" i="5" s="1"/>
  <c r="AL9" i="5"/>
  <c r="F9" i="5" a="1"/>
  <c r="F9" i="5" s="1"/>
  <c r="AL8" i="5"/>
  <c r="F8" i="5" a="1"/>
  <c r="F8" i="5" s="1"/>
  <c r="AL7" i="5"/>
  <c r="F7" i="5" a="1"/>
  <c r="F7" i="5" s="1"/>
  <c r="AL6" i="5"/>
  <c r="F6" i="5" a="1"/>
  <c r="F6" i="5" s="1"/>
  <c r="H5" i="5"/>
  <c r="P4" i="14" l="1"/>
  <c r="P3" i="14"/>
  <c r="Q5" i="14"/>
  <c r="R4" i="11"/>
  <c r="Q3" i="11"/>
  <c r="R5" i="10"/>
  <c r="Q4" i="10"/>
  <c r="Q3" i="10"/>
  <c r="R4" i="9"/>
  <c r="Q3" i="9"/>
  <c r="P3" i="8"/>
  <c r="P4" i="8"/>
  <c r="Q5" i="8"/>
  <c r="O3" i="7"/>
  <c r="O4" i="7"/>
  <c r="O3" i="6"/>
  <c r="P4" i="6"/>
  <c r="H3" i="5"/>
  <c r="H4" i="5"/>
  <c r="I5" i="5"/>
  <c r="J5" i="5" s="1"/>
  <c r="R5" i="14" l="1"/>
  <c r="Q3" i="14"/>
  <c r="Q4" i="14"/>
  <c r="R3" i="11"/>
  <c r="S4" i="11"/>
  <c r="S5" i="10"/>
  <c r="R4" i="10"/>
  <c r="R3" i="10"/>
  <c r="S4" i="9"/>
  <c r="R3" i="9"/>
  <c r="R5" i="8"/>
  <c r="Q4" i="8"/>
  <c r="Q3" i="8"/>
  <c r="P4" i="7"/>
  <c r="P3" i="7"/>
  <c r="P3" i="6"/>
  <c r="Q4" i="6"/>
  <c r="J4" i="5"/>
  <c r="J3" i="5"/>
  <c r="I3" i="5"/>
  <c r="I4" i="5"/>
  <c r="K5" i="5"/>
  <c r="R4" i="14" l="1"/>
  <c r="R3" i="14"/>
  <c r="S5" i="14"/>
  <c r="S3" i="11"/>
  <c r="T4" i="11"/>
  <c r="S4" i="10"/>
  <c r="S3" i="10"/>
  <c r="T5" i="10"/>
  <c r="T4" i="9"/>
  <c r="S3" i="9"/>
  <c r="S5" i="8"/>
  <c r="R4" i="8"/>
  <c r="R3" i="8"/>
  <c r="Q4" i="7"/>
  <c r="Q3" i="7"/>
  <c r="R4" i="6"/>
  <c r="Q3" i="6"/>
  <c r="K3" i="5"/>
  <c r="K4" i="5"/>
  <c r="L5" i="5"/>
  <c r="F5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6" i="2"/>
  <c r="F27" i="2"/>
  <c r="H4" i="2"/>
  <c r="H3" i="2" s="1"/>
  <c r="G3" i="2"/>
  <c r="AL26" i="2"/>
  <c r="AL27" i="2"/>
  <c r="AL28" i="2"/>
  <c r="AL5" i="2"/>
  <c r="AL6" i="2"/>
  <c r="AL7" i="2"/>
  <c r="AL8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T5" i="14" l="1"/>
  <c r="S4" i="14"/>
  <c r="S3" i="14"/>
  <c r="T3" i="11"/>
  <c r="U4" i="11"/>
  <c r="T3" i="10"/>
  <c r="U5" i="10"/>
  <c r="T4" i="10"/>
  <c r="U4" i="9"/>
  <c r="T3" i="9"/>
  <c r="S4" i="8"/>
  <c r="T5" i="8"/>
  <c r="S3" i="8"/>
  <c r="R4" i="7"/>
  <c r="R3" i="7"/>
  <c r="R3" i="6"/>
  <c r="S4" i="6"/>
  <c r="L4" i="5"/>
  <c r="L3" i="5"/>
  <c r="M5" i="5"/>
  <c r="I4" i="2"/>
  <c r="I3" i="2" s="1"/>
  <c r="J4" i="2"/>
  <c r="T4" i="14" l="1"/>
  <c r="T3" i="14"/>
  <c r="U5" i="14"/>
  <c r="V4" i="11"/>
  <c r="U3" i="11"/>
  <c r="V5" i="10"/>
  <c r="U4" i="10"/>
  <c r="U3" i="10"/>
  <c r="V4" i="9"/>
  <c r="U3" i="9"/>
  <c r="T3" i="8"/>
  <c r="U5" i="8"/>
  <c r="T4" i="8"/>
  <c r="S4" i="7"/>
  <c r="S3" i="7"/>
  <c r="S3" i="6"/>
  <c r="T4" i="6"/>
  <c r="M4" i="5"/>
  <c r="M3" i="5"/>
  <c r="N5" i="5"/>
  <c r="K4" i="2"/>
  <c r="J3" i="2"/>
  <c r="U3" i="14" l="1"/>
  <c r="U4" i="14"/>
  <c r="V5" i="14"/>
  <c r="V3" i="11"/>
  <c r="W4" i="11"/>
  <c r="W5" i="10"/>
  <c r="V4" i="10"/>
  <c r="V3" i="10"/>
  <c r="W4" i="9"/>
  <c r="V3" i="9"/>
  <c r="V5" i="8"/>
  <c r="U4" i="8"/>
  <c r="U3" i="8"/>
  <c r="T4" i="7"/>
  <c r="T3" i="7"/>
  <c r="T3" i="6"/>
  <c r="U4" i="6"/>
  <c r="N4" i="5"/>
  <c r="N3" i="5"/>
  <c r="O5" i="5"/>
  <c r="L4" i="2"/>
  <c r="K3" i="2"/>
  <c r="V3" i="14" l="1"/>
  <c r="W5" i="14"/>
  <c r="V4" i="14"/>
  <c r="W3" i="11"/>
  <c r="X4" i="11"/>
  <c r="W4" i="10"/>
  <c r="W3" i="10"/>
  <c r="X5" i="10"/>
  <c r="X4" i="9"/>
  <c r="W3" i="9"/>
  <c r="W5" i="8"/>
  <c r="V4" i="8"/>
  <c r="V3" i="8"/>
  <c r="U3" i="7"/>
  <c r="U4" i="7"/>
  <c r="V4" i="6"/>
  <c r="U3" i="6"/>
  <c r="O4" i="5"/>
  <c r="O3" i="5"/>
  <c r="P5" i="5"/>
  <c r="M4" i="2"/>
  <c r="L3" i="2"/>
  <c r="W3" i="14" l="1"/>
  <c r="X5" i="14"/>
  <c r="W4" i="14"/>
  <c r="X3" i="11"/>
  <c r="Y4" i="11"/>
  <c r="X3" i="10"/>
  <c r="Y5" i="10"/>
  <c r="X4" i="10"/>
  <c r="Y4" i="9"/>
  <c r="X3" i="9"/>
  <c r="W4" i="8"/>
  <c r="X5" i="8"/>
  <c r="W3" i="8"/>
  <c r="V3" i="7"/>
  <c r="V4" i="7"/>
  <c r="V3" i="6"/>
  <c r="W4" i="6"/>
  <c r="P4" i="5"/>
  <c r="P3" i="5"/>
  <c r="Q5" i="5"/>
  <c r="N4" i="2"/>
  <c r="M3" i="2"/>
  <c r="X4" i="14" l="1"/>
  <c r="X3" i="14"/>
  <c r="Y5" i="14"/>
  <c r="Z4" i="11"/>
  <c r="Y3" i="11"/>
  <c r="Z5" i="10"/>
  <c r="Y4" i="10"/>
  <c r="Y3" i="10"/>
  <c r="Z4" i="9"/>
  <c r="Y3" i="9"/>
  <c r="X3" i="8"/>
  <c r="X4" i="8"/>
  <c r="Y5" i="8"/>
  <c r="W3" i="7"/>
  <c r="W4" i="7"/>
  <c r="W3" i="6"/>
  <c r="X4" i="6"/>
  <c r="Q3" i="5"/>
  <c r="Q4" i="5"/>
  <c r="R5" i="5"/>
  <c r="O4" i="2"/>
  <c r="N3" i="2"/>
  <c r="Y4" i="14" l="1"/>
  <c r="Z5" i="14"/>
  <c r="Y3" i="14"/>
  <c r="Z3" i="11"/>
  <c r="AA4" i="11"/>
  <c r="AA5" i="10"/>
  <c r="Z4" i="10"/>
  <c r="Z3" i="10"/>
  <c r="AA4" i="9"/>
  <c r="Z3" i="9"/>
  <c r="Z5" i="8"/>
  <c r="Y4" i="8"/>
  <c r="Y3" i="8"/>
  <c r="X3" i="7"/>
  <c r="X4" i="7"/>
  <c r="X3" i="6"/>
  <c r="Y4" i="6"/>
  <c r="R4" i="5"/>
  <c r="R3" i="5"/>
  <c r="S5" i="5"/>
  <c r="P4" i="2"/>
  <c r="O3" i="2"/>
  <c r="AA5" i="14" l="1"/>
  <c r="Z4" i="14"/>
  <c r="Z3" i="14"/>
  <c r="AA3" i="11"/>
  <c r="AB4" i="11"/>
  <c r="AA4" i="10"/>
  <c r="AA3" i="10"/>
  <c r="AB5" i="10"/>
  <c r="AB4" i="9"/>
  <c r="AA3" i="9"/>
  <c r="AA5" i="8"/>
  <c r="Z4" i="8"/>
  <c r="Z3" i="8"/>
  <c r="Y3" i="7"/>
  <c r="Y4" i="7"/>
  <c r="Z4" i="6"/>
  <c r="Y3" i="6"/>
  <c r="S3" i="5"/>
  <c r="S4" i="5"/>
  <c r="T5" i="5"/>
  <c r="Q4" i="2"/>
  <c r="P3" i="2"/>
  <c r="AB5" i="14" l="1"/>
  <c r="AA4" i="14"/>
  <c r="AA3" i="14"/>
  <c r="AB3" i="11"/>
  <c r="AC4" i="11"/>
  <c r="AB3" i="10"/>
  <c r="AC5" i="10"/>
  <c r="AB4" i="10"/>
  <c r="AC4" i="9"/>
  <c r="AB3" i="9"/>
  <c r="AA4" i="8"/>
  <c r="AB5" i="8"/>
  <c r="AA3" i="8"/>
  <c r="Z3" i="7"/>
  <c r="Z4" i="7"/>
  <c r="Z3" i="6"/>
  <c r="AA4" i="6"/>
  <c r="T3" i="5"/>
  <c r="T4" i="5"/>
  <c r="U5" i="5"/>
  <c r="R4" i="2"/>
  <c r="Q3" i="2"/>
  <c r="AB3" i="14" l="1"/>
  <c r="AB4" i="14"/>
  <c r="AC5" i="14"/>
  <c r="AD4" i="11"/>
  <c r="AC3" i="11"/>
  <c r="AD5" i="10"/>
  <c r="AC4" i="10"/>
  <c r="AC3" i="10"/>
  <c r="AD4" i="9"/>
  <c r="AC3" i="9"/>
  <c r="AB3" i="8"/>
  <c r="AB4" i="8"/>
  <c r="AC5" i="8"/>
  <c r="AA3" i="7"/>
  <c r="AA4" i="7"/>
  <c r="AA3" i="6"/>
  <c r="AB4" i="6"/>
  <c r="U3" i="5"/>
  <c r="U4" i="5"/>
  <c r="V5" i="5"/>
  <c r="S4" i="2"/>
  <c r="R3" i="2"/>
  <c r="AC4" i="14" l="1"/>
  <c r="AD5" i="14"/>
  <c r="AC3" i="14"/>
  <c r="AD3" i="11"/>
  <c r="AE4" i="11"/>
  <c r="AE5" i="10"/>
  <c r="AD4" i="10"/>
  <c r="AD3" i="10"/>
  <c r="AE4" i="9"/>
  <c r="AD3" i="9"/>
  <c r="AD5" i="8"/>
  <c r="AC4" i="8"/>
  <c r="AC3" i="8"/>
  <c r="AB4" i="7"/>
  <c r="AB3" i="7"/>
  <c r="AB3" i="6"/>
  <c r="AC4" i="6"/>
  <c r="V4" i="5"/>
  <c r="V3" i="5"/>
  <c r="W5" i="5"/>
  <c r="T4" i="2"/>
  <c r="S3" i="2"/>
  <c r="AD3" i="14" l="1"/>
  <c r="AE5" i="14"/>
  <c r="AD4" i="14"/>
  <c r="AE3" i="11"/>
  <c r="AF4" i="11"/>
  <c r="AE4" i="10"/>
  <c r="AE3" i="10"/>
  <c r="AF5" i="10"/>
  <c r="AF4" i="9"/>
  <c r="AE3" i="9"/>
  <c r="AE5" i="8"/>
  <c r="AD4" i="8"/>
  <c r="AD3" i="8"/>
  <c r="AC4" i="7"/>
  <c r="AC3" i="7"/>
  <c r="AD4" i="6"/>
  <c r="AC3" i="6"/>
  <c r="W3" i="5"/>
  <c r="W4" i="5"/>
  <c r="X5" i="5"/>
  <c r="U4" i="2"/>
  <c r="T3" i="2"/>
  <c r="AE4" i="14" l="1"/>
  <c r="AF5" i="14"/>
  <c r="AE3" i="14"/>
  <c r="AF3" i="11"/>
  <c r="AG4" i="11"/>
  <c r="AF3" i="10"/>
  <c r="AG5" i="10"/>
  <c r="AF4" i="10"/>
  <c r="AG4" i="9"/>
  <c r="AF3" i="9"/>
  <c r="AE4" i="8"/>
  <c r="AF5" i="8"/>
  <c r="AE3" i="8"/>
  <c r="AD4" i="7"/>
  <c r="AD3" i="7"/>
  <c r="AD3" i="6"/>
  <c r="AE4" i="6"/>
  <c r="X4" i="5"/>
  <c r="X3" i="5"/>
  <c r="Y5" i="5"/>
  <c r="V4" i="2"/>
  <c r="U3" i="2"/>
  <c r="AF3" i="14" l="1"/>
  <c r="AG5" i="14"/>
  <c r="AF4" i="14"/>
  <c r="AH4" i="11"/>
  <c r="AH3" i="11" s="1"/>
  <c r="AG3" i="11"/>
  <c r="AH5" i="10"/>
  <c r="AG4" i="10"/>
  <c r="AG3" i="10"/>
  <c r="AH4" i="9"/>
  <c r="AG3" i="9"/>
  <c r="AG5" i="8"/>
  <c r="AF3" i="8"/>
  <c r="AF4" i="8"/>
  <c r="AE4" i="7"/>
  <c r="AE3" i="7"/>
  <c r="AE3" i="6"/>
  <c r="AF4" i="6"/>
  <c r="Y4" i="5"/>
  <c r="Y3" i="5"/>
  <c r="Z5" i="5"/>
  <c r="W4" i="2"/>
  <c r="V3" i="2"/>
  <c r="AG4" i="14" l="1"/>
  <c r="AG3" i="14"/>
  <c r="AH5" i="14"/>
  <c r="AH4" i="10"/>
  <c r="AH3" i="10"/>
  <c r="AH3" i="9"/>
  <c r="AH5" i="8"/>
  <c r="AG4" i="8"/>
  <c r="AG3" i="8"/>
  <c r="AF3" i="7"/>
  <c r="AF4" i="7"/>
  <c r="AF3" i="6"/>
  <c r="AG4" i="6"/>
  <c r="Z4" i="5"/>
  <c r="Z3" i="5"/>
  <c r="AA5" i="5"/>
  <c r="X4" i="2"/>
  <c r="W3" i="2"/>
  <c r="AH3" i="14" l="1"/>
  <c r="AH4" i="14"/>
  <c r="AH4" i="8"/>
  <c r="AH3" i="8"/>
  <c r="AG3" i="7"/>
  <c r="AG4" i="7"/>
  <c r="AH4" i="6"/>
  <c r="AG3" i="6"/>
  <c r="AA4" i="5"/>
  <c r="AA3" i="5"/>
  <c r="AB5" i="5"/>
  <c r="Y4" i="2"/>
  <c r="X3" i="2"/>
  <c r="AL3" i="8" l="1"/>
  <c r="AH3" i="7"/>
  <c r="AH4" i="7"/>
  <c r="AH3" i="6"/>
  <c r="AB4" i="5"/>
  <c r="AB3" i="5"/>
  <c r="AC5" i="5"/>
  <c r="Z4" i="2"/>
  <c r="Y3" i="2"/>
  <c r="AC3" i="5" l="1"/>
  <c r="AC4" i="5"/>
  <c r="AD5" i="5"/>
  <c r="AA4" i="2"/>
  <c r="Z3" i="2"/>
  <c r="AD4" i="5" l="1"/>
  <c r="AD3" i="5"/>
  <c r="AE5" i="5"/>
  <c r="AB4" i="2"/>
  <c r="AA3" i="2"/>
  <c r="AE3" i="5" l="1"/>
  <c r="AE4" i="5"/>
  <c r="AF5" i="5"/>
  <c r="AC4" i="2"/>
  <c r="AB3" i="2"/>
  <c r="AF3" i="5" l="1"/>
  <c r="AF4" i="5"/>
  <c r="AG5" i="5"/>
  <c r="AD4" i="2"/>
  <c r="AC3" i="2"/>
  <c r="AG3" i="5" l="1"/>
  <c r="AG4" i="5"/>
  <c r="AH5" i="5"/>
  <c r="AE4" i="2"/>
  <c r="AD3" i="2"/>
  <c r="AH4" i="5" l="1"/>
  <c r="AH3" i="5"/>
  <c r="AI5" i="5"/>
  <c r="AF4" i="2"/>
  <c r="AE3" i="2"/>
  <c r="AI3" i="5" l="1"/>
  <c r="AI4" i="5"/>
  <c r="AJ5" i="5"/>
  <c r="AG4" i="2"/>
  <c r="AF3" i="2"/>
  <c r="AJ4" i="5" l="1"/>
  <c r="AJ3" i="5"/>
  <c r="AK5" i="5"/>
  <c r="AH4" i="2"/>
  <c r="AG3" i="2"/>
  <c r="AK4" i="5" l="1"/>
  <c r="AK3" i="5"/>
  <c r="AI4" i="2"/>
  <c r="AH3" i="2"/>
  <c r="AJ4" i="2" l="1"/>
  <c r="AI3" i="2"/>
  <c r="AK4" i="2" l="1"/>
  <c r="AK3" i="2" s="1"/>
  <c r="AJ3" i="2"/>
  <c r="G19" i="11"/>
  <c r="AL19" i="11"/>
</calcChain>
</file>

<file path=xl/sharedStrings.xml><?xml version="1.0" encoding="utf-8"?>
<sst xmlns="http://schemas.openxmlformats.org/spreadsheetml/2006/main" count="4881" uniqueCount="142">
  <si>
    <t>ASSINATURA/CARIMBO - CHEFE IMEDIATO</t>
  </si>
  <si>
    <t>ASSINATURA/CARIMBO -  DIRETOR</t>
  </si>
  <si>
    <t>HORAS</t>
  </si>
  <si>
    <r>
      <rPr>
        <b/>
        <sz val="6.5"/>
        <rFont val="Arial"/>
        <family val="2"/>
      </rPr>
      <t>D I A S    D A    S E M A N A</t>
    </r>
  </si>
  <si>
    <t>FUNÇÃO</t>
  </si>
  <si>
    <t>LOTAÇÃO</t>
  </si>
  <si>
    <t>CH</t>
  </si>
  <si>
    <t>PL</t>
  </si>
  <si>
    <t>SN</t>
  </si>
  <si>
    <t>SD</t>
  </si>
  <si>
    <t>NADJA DA SILVA S BARBOSA</t>
  </si>
  <si>
    <t>DIAS TRAB.</t>
  </si>
  <si>
    <t>SETOR:</t>
  </si>
  <si>
    <t>UNIDADE DE INTERNAÇÃO</t>
  </si>
  <si>
    <t>D I A S</t>
  </si>
  <si>
    <t>D A    S E M A N A</t>
  </si>
  <si>
    <t>TOTAL</t>
  </si>
  <si>
    <t>MATRICULA</t>
  </si>
  <si>
    <t>TÉCNICO DE ENFERMAGEM</t>
  </si>
  <si>
    <t>TÉRREO</t>
  </si>
  <si>
    <t>MIUCHA MARA CERQUEIRA SILVA</t>
  </si>
  <si>
    <t>MONICA SANTOS DE JESUS</t>
  </si>
  <si>
    <t>JUCIARA DE OLIVEIRA NUNES</t>
  </si>
  <si>
    <t>MILENA ISABEL RIBEIRO</t>
  </si>
  <si>
    <t>EDIVANEA MARIA MATOS DA SILVA</t>
  </si>
  <si>
    <t>ALEXANDRE DE JESUS NUNES</t>
  </si>
  <si>
    <t>EMERSON SILVA FILHO</t>
  </si>
  <si>
    <t>MARIA  V. S. DOS SANTOS</t>
  </si>
  <si>
    <t>NILMA DOS SANTOS</t>
  </si>
  <si>
    <t>GLÉCIA GOMES ROSA</t>
  </si>
  <si>
    <t>ROSILENE LAGE DE ALMEIDA</t>
  </si>
  <si>
    <t>RENATA DA COSTA</t>
  </si>
  <si>
    <t xml:space="preserve">NOME
</t>
  </si>
  <si>
    <t>REGINA GONZAGA</t>
  </si>
  <si>
    <t>ERICA FERREIRA MENDONÇA BAZILIO</t>
  </si>
  <si>
    <t>BARBARA MARCIA CARDOSO</t>
  </si>
  <si>
    <t xml:space="preserve">TATIANA SAID </t>
  </si>
  <si>
    <t>1º ANDAR</t>
  </si>
  <si>
    <t>DEBORA SILVA MENDONÇA</t>
  </si>
  <si>
    <t>TECNICO DE ENFERMAGEM</t>
  </si>
  <si>
    <t>OLGARINA PEREIRA SANTOS</t>
  </si>
  <si>
    <t>NOME</t>
  </si>
  <si>
    <t>SILENE MARIA DOS SANTOS</t>
  </si>
  <si>
    <t>FLÁVIO SANTOS SOUZA</t>
  </si>
  <si>
    <t>VANESSA SANTOS COELHO</t>
  </si>
  <si>
    <t>DAIANE DOS ANJOS RODRIGUES</t>
  </si>
  <si>
    <t>VIVIANE TEIXEIRA DE JESUS</t>
  </si>
  <si>
    <t>TATIANE SANTOS DA SILVA</t>
  </si>
  <si>
    <t>ELIANE REIS DOS SANTOS</t>
  </si>
  <si>
    <t>NAIARA KELI LIMA DOS SANTOS</t>
  </si>
  <si>
    <t>VALDINERI SANTOS DE JESUS</t>
  </si>
  <si>
    <t>ANA CLÁUDIA LAGE FARIAS</t>
  </si>
  <si>
    <t>MOACIR NEVES DE JESUS</t>
  </si>
  <si>
    <t>ANDREIA SILVA DE LIMA</t>
  </si>
  <si>
    <t>LILIAN FLORES ARAÚJO</t>
  </si>
  <si>
    <t>JULIANA FREITAS SILVA</t>
  </si>
  <si>
    <t>DANIELA CERQUEIRA SANTOS</t>
  </si>
  <si>
    <t>MONICA DAS VIRGENS DE JESUS</t>
  </si>
  <si>
    <r>
      <rPr>
        <b/>
        <sz val="10"/>
        <color rgb="FFFF0000"/>
        <rFont val="Calibri"/>
        <family val="2"/>
        <scheme val="minor"/>
      </rPr>
      <t>SN</t>
    </r>
  </si>
  <si>
    <t>MÊS/ANO: JANEIRO/2026</t>
  </si>
  <si>
    <r>
      <rPr>
        <b/>
        <sz val="9"/>
        <rFont val="Arial"/>
        <family val="2"/>
      </rPr>
      <t xml:space="preserve">SD </t>
    </r>
    <r>
      <rPr>
        <sz val="9"/>
        <rFont val="Arial MT"/>
        <family val="2"/>
      </rPr>
      <t xml:space="preserve">-  </t>
    </r>
    <r>
      <rPr>
        <b/>
        <sz val="9"/>
        <rFont val="Arial"/>
        <family val="2"/>
      </rPr>
      <t>S</t>
    </r>
    <r>
      <rPr>
        <sz val="9"/>
        <rFont val="Arial MT"/>
        <family val="2"/>
      </rPr>
      <t xml:space="preserve">ERVIÇO </t>
    </r>
    <r>
      <rPr>
        <b/>
        <sz val="9"/>
        <rFont val="Arial"/>
        <family val="2"/>
      </rPr>
      <t>D</t>
    </r>
    <r>
      <rPr>
        <sz val="9"/>
        <rFont val="Arial MT"/>
        <family val="2"/>
      </rPr>
      <t xml:space="preserve">IURNO (07:00h às 19:00h)  </t>
    </r>
    <r>
      <rPr>
        <b/>
        <sz val="9"/>
        <rFont val="Arial"/>
        <family val="2"/>
      </rPr>
      <t xml:space="preserve">12H SN </t>
    </r>
    <r>
      <rPr>
        <sz val="9"/>
        <rFont val="Arial MT"/>
        <family val="2"/>
      </rPr>
      <t xml:space="preserve">-  </t>
    </r>
    <r>
      <rPr>
        <b/>
        <sz val="9"/>
        <rFont val="Arial"/>
        <family val="2"/>
      </rPr>
      <t>S</t>
    </r>
    <r>
      <rPr>
        <sz val="9"/>
        <rFont val="Arial MT"/>
        <family val="2"/>
      </rPr>
      <t xml:space="preserve">ERVIÇO </t>
    </r>
    <r>
      <rPr>
        <b/>
        <sz val="9"/>
        <rFont val="Arial"/>
        <family val="2"/>
      </rPr>
      <t>N</t>
    </r>
    <r>
      <rPr>
        <sz val="9"/>
        <rFont val="Arial MT"/>
        <family val="2"/>
      </rPr>
      <t xml:space="preserve">OTURNO (19:00h às 07:00h)  </t>
    </r>
    <r>
      <rPr>
        <b/>
        <sz val="9"/>
        <rFont val="Arial"/>
        <family val="2"/>
      </rPr>
      <t xml:space="preserve">12H INSS - AFASTAMENTO POR DOENÇA
P    </t>
    </r>
    <r>
      <rPr>
        <vertAlign val="superscript"/>
        <sz val="9"/>
        <rFont val="Arial MT"/>
        <family val="2"/>
      </rPr>
      <t>PLANTÃO 24H</t>
    </r>
  </si>
  <si>
    <r>
      <rPr>
        <b/>
        <sz val="9"/>
        <rFont val="Arial"/>
        <family val="2"/>
      </rPr>
      <t>FE OU FC
FD</t>
    </r>
  </si>
  <si>
    <r>
      <rPr>
        <sz val="9"/>
        <rFont val="Arial MT"/>
        <family val="2"/>
      </rPr>
      <t xml:space="preserve">FÉRIAS
OUTROS (Especificar no campo de "Observação")
FACULTATIVO       </t>
    </r>
    <r>
      <rPr>
        <b/>
        <sz val="9"/>
        <rFont val="Arial"/>
        <family val="2"/>
      </rPr>
      <t xml:space="preserve">FA   </t>
    </r>
    <r>
      <rPr>
        <sz val="9"/>
        <rFont val="Arial MT"/>
        <family val="2"/>
      </rPr>
      <t>FALTA FERIADO</t>
    </r>
  </si>
  <si>
    <t>ESCALA DE SERVIÇOS TECNICOS DE ENFERMAGEM</t>
  </si>
  <si>
    <t>MÊS/ANO:
JANEIRO/2026</t>
  </si>
  <si>
    <t>IRLENE MARIA DIAS DA CONCEIÇÃO</t>
  </si>
  <si>
    <t>ANA PAULA MACEDO SA</t>
  </si>
  <si>
    <t>GEANE DA CRUZ S.PARANÁ</t>
  </si>
  <si>
    <t>JOELMA M. DAS MONTANHAS</t>
  </si>
  <si>
    <t>ESCALA DE SERVIÇOS DE ENFERMAGEM     TÉCNICA DE ENFERMAGEM</t>
  </si>
  <si>
    <t>TELMA REGINA DE J. DO MONTE</t>
  </si>
  <si>
    <t>IRIS JAQUELINE DO N. FALCÃO</t>
  </si>
  <si>
    <t>SILVIA ROBERTA B DOS SANTOS</t>
  </si>
  <si>
    <t>ALINE CRISTIANE S. RODRIGUES</t>
  </si>
  <si>
    <r>
      <rPr>
        <b/>
        <sz val="10"/>
        <color rgb="FFFF0000"/>
        <rFont val="Calibri"/>
        <family val="2"/>
      </rPr>
      <t>SD</t>
    </r>
  </si>
  <si>
    <r>
      <rPr>
        <b/>
        <sz val="10"/>
        <color rgb="FFFF0000"/>
        <rFont val="Calibri"/>
        <family val="2"/>
      </rPr>
      <t>SN</t>
    </r>
  </si>
  <si>
    <r>
      <rPr>
        <b/>
        <sz val="10"/>
        <color rgb="FF0000FF"/>
        <rFont val="Calibri"/>
        <family val="2"/>
      </rPr>
      <t>SD</t>
    </r>
  </si>
  <si>
    <r>
      <rPr>
        <b/>
        <sz val="10"/>
        <color rgb="FF1F3763"/>
        <rFont val="Calibri"/>
        <family val="2"/>
      </rPr>
      <t>SD</t>
    </r>
  </si>
  <si>
    <t>DIAS TRAB</t>
  </si>
  <si>
    <t>JUSSARA O DE SOUZA</t>
  </si>
  <si>
    <t>ROSANA MARIA DE A NUNES</t>
  </si>
  <si>
    <t>KARINA SILVA C ROCHA</t>
  </si>
  <si>
    <t>ANDREIA  C. ROSENDO DOS SANTOS</t>
  </si>
  <si>
    <t>WELLINGTON E. DOS SANTOS</t>
  </si>
  <si>
    <t xml:space="preserve">CLAUCIMENE P. CERQUEIRA </t>
  </si>
  <si>
    <t>GILVAN DE JESUS SILVA</t>
  </si>
  <si>
    <r>
      <t xml:space="preserve">SD -  SERVIÇO DIURNO (07:00h às 19:00h)  12H SN -  SERVIÇO NOTURNO (19:00h às 07:00h)                                                    12 INSS - AFASTAMENTO POR DOENÇA
P    </t>
    </r>
    <r>
      <rPr>
        <vertAlign val="superscript"/>
        <sz val="10"/>
        <rFont val="Calibri"/>
        <family val="2"/>
      </rPr>
      <t>PLANTÃO 24H</t>
    </r>
  </si>
  <si>
    <t>SUZANA GUIMARÃES NUNES</t>
  </si>
  <si>
    <t>MT</t>
  </si>
  <si>
    <r>
      <rPr>
        <sz val="10"/>
        <color rgb="FFFF0000"/>
        <rFont val="Calibri"/>
        <family val="2"/>
        <scheme val="minor"/>
      </rPr>
      <t>SN</t>
    </r>
  </si>
  <si>
    <t xml:space="preserve">TATIANE CONCEIÇÃO SANTOS </t>
  </si>
  <si>
    <t>NATACHA SANTOS AVELINO</t>
  </si>
  <si>
    <t>BRIANA CARLA JESUS DE LIMA</t>
  </si>
  <si>
    <t>THAINA GOMES DOS SANTOS</t>
  </si>
  <si>
    <t>2º ANDAR</t>
  </si>
  <si>
    <t>TAINA BARBARA DE JESUS TRIGUEIROS AS</t>
  </si>
  <si>
    <t>M</t>
  </si>
  <si>
    <t xml:space="preserve">DORALICE SILVA NETA </t>
  </si>
  <si>
    <t>STEFANI LIMA DE SOUZA MAIA</t>
  </si>
  <si>
    <t xml:space="preserve">06/02 TREINAMENTO  PARA EQUIPE DE TECNICOS DE ENFERMAGEM </t>
  </si>
  <si>
    <t>D I A S DA SEMANA</t>
  </si>
  <si>
    <t>MÊS/ANO:
FEVEREIRO/2026</t>
  </si>
  <si>
    <t>ORLANE DA S.  NOBERTO DOS SANTOS</t>
  </si>
  <si>
    <t>04/02 TREINAMENTO COM A EQUIPE DE TECNICOS DE ENFERMAGEM</t>
  </si>
  <si>
    <t>MÊS/ANO:    FEVEREIRO /2026</t>
  </si>
  <si>
    <t>SIDINEIDE JUSTO</t>
  </si>
  <si>
    <t xml:space="preserve">PATRÍCIA DE ARAÚJO </t>
  </si>
  <si>
    <t>MARIA CLAÚDIA L. DA SILVA</t>
  </si>
  <si>
    <t>RODRIGO ALMEIDA AQUINO</t>
  </si>
  <si>
    <t>HELIO SANTOS SALES</t>
  </si>
  <si>
    <t>THAINA BARBOSA SANTANA</t>
  </si>
  <si>
    <t>BRUNO CERQUEIRA E SILVA</t>
  </si>
  <si>
    <t>P</t>
  </si>
  <si>
    <t>MÊS/ANO:
MARÇO / 2026</t>
  </si>
  <si>
    <t>SAB</t>
  </si>
  <si>
    <t>DOM</t>
  </si>
  <si>
    <t>SEG</t>
  </si>
  <si>
    <t xml:space="preserve">  SN</t>
  </si>
  <si>
    <t>IRAILDES SANTOS ARAÚJO</t>
  </si>
  <si>
    <t>TER</t>
  </si>
  <si>
    <t>COREN</t>
  </si>
  <si>
    <t>SETOR: UNIDADE DE INTERNAÇÃO</t>
  </si>
  <si>
    <t>MATRÍCULA</t>
  </si>
  <si>
    <t>MONICA VIEIRA  MARQUES</t>
  </si>
  <si>
    <t>BÁRBARA SANTOS DE SOUZA</t>
  </si>
  <si>
    <t xml:space="preserve">MONICA VIEIRA MARQUES </t>
  </si>
  <si>
    <t>MARIZA DO NASCIMENTO</t>
  </si>
  <si>
    <t>NIVALDA SANTOS PEREIRA</t>
  </si>
  <si>
    <t xml:space="preserve">1º ANDAR </t>
  </si>
  <si>
    <t>MÊS/ANO:    MARÇO /2026</t>
  </si>
  <si>
    <t>QUA</t>
  </si>
  <si>
    <t>QUI</t>
  </si>
  <si>
    <t>MARIA DUKE DE CERQUEIRA</t>
  </si>
  <si>
    <t>ANA MARIA SANTOS BONFIM</t>
  </si>
  <si>
    <t>Ç</t>
  </si>
  <si>
    <t>SEX</t>
  </si>
  <si>
    <t>T</t>
  </si>
  <si>
    <t>1 ANDAR</t>
  </si>
  <si>
    <t>2 ANDAR</t>
  </si>
  <si>
    <t>MAIO</t>
  </si>
  <si>
    <t>P1 - PONTO DE DOBRA</t>
  </si>
  <si>
    <t>P 2 - PONTO DE TRANSFERÊNCIA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</si>
</sst>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87" x14ac:knownFonts="1">
    <font>
      <sz val="10"/>
      <color rgb="FF000000"/>
      <name val="Times New Roman"/>
      <charset val="204"/>
    </font>
    <font>
      <b/>
      <sz val="6.5"/>
      <name val="Arial"/>
      <family val="2"/>
    </font>
    <font>
      <sz val="10"/>
      <color rgb="FF000000"/>
      <name val="Times New Roman"/>
      <family val="1"/>
    </font>
    <font>
      <b/>
      <sz val="9"/>
      <name val="Arial"/>
      <family val="2"/>
    </font>
    <font>
      <sz val="9"/>
      <color rgb="FF000000"/>
      <name val="Times New Roman"/>
      <family val="1"/>
    </font>
    <font>
      <sz val="9"/>
      <name val="Arial MT"/>
      <family val="2"/>
    </font>
    <font>
      <vertAlign val="superscript"/>
      <sz val="9"/>
      <name val="Arial MT"/>
      <family val="2"/>
    </font>
    <font>
      <b/>
      <sz val="9"/>
      <name val="Calibri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9"/>
      <name val="Calibri"/>
      <family val="2"/>
    </font>
    <font>
      <b/>
      <sz val="8"/>
      <name val="Calibri"/>
      <family val="2"/>
    </font>
    <font>
      <b/>
      <sz val="8"/>
      <name val="Arial"/>
      <family val="2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1F3763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7"/>
      <name val="Calibri"/>
      <family val="2"/>
    </font>
    <font>
      <b/>
      <sz val="6"/>
      <name val="Calibri"/>
      <family val="2"/>
    </font>
    <font>
      <sz val="7"/>
      <name val="Calibri"/>
      <family val="2"/>
    </font>
    <font>
      <b/>
      <sz val="5"/>
      <name val="Calibri"/>
      <family val="2"/>
    </font>
    <font>
      <sz val="5"/>
      <color rgb="FF000000"/>
      <name val="Times New Roman"/>
      <family val="1"/>
    </font>
    <font>
      <b/>
      <sz val="6"/>
      <color rgb="FF000000"/>
      <name val="Calibri"/>
      <family val="2"/>
    </font>
    <font>
      <sz val="6"/>
      <color rgb="FF000000"/>
      <name val="Times New Roman"/>
      <family val="1"/>
    </font>
    <font>
      <sz val="6"/>
      <name val="Calibri"/>
      <family val="2"/>
    </font>
    <font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sz val="8"/>
      <name val="Times New Roman"/>
      <family val="1"/>
    </font>
    <font>
      <b/>
      <sz val="10"/>
      <color rgb="FFFFFFFF"/>
      <name val="Calibri"/>
      <family val="2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8"/>
      <color theme="1"/>
      <name val="Calibri"/>
      <family val="2"/>
    </font>
    <font>
      <sz val="18"/>
      <color rgb="FF000000"/>
      <name val="Times New Roman"/>
      <family val="1"/>
    </font>
    <font>
      <b/>
      <sz val="11"/>
      <name val="Arial"/>
      <family val="2"/>
    </font>
    <font>
      <b/>
      <sz val="10"/>
      <color theme="1" tint="4.9989318521683403E-2"/>
      <name val="Calibri"/>
      <family val="2"/>
    </font>
    <font>
      <b/>
      <sz val="10"/>
      <color theme="1" tint="4.9989318521683403E-2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2B2B00"/>
      <name val="Calibri"/>
      <family val="2"/>
      <scheme val="minor"/>
    </font>
    <font>
      <b/>
      <sz val="10"/>
      <color rgb="FFED0000"/>
      <name val="Calibri"/>
      <family val="2"/>
      <scheme val="minor"/>
    </font>
    <font>
      <b/>
      <sz val="10"/>
      <color rgb="FFED0000"/>
      <name val="Calibri"/>
      <family val="2"/>
    </font>
    <font>
      <b/>
      <sz val="10"/>
      <color rgb="FF2B2B00"/>
      <name val="Calibri"/>
      <family val="2"/>
    </font>
    <font>
      <b/>
      <sz val="10"/>
      <color rgb="FF313131"/>
      <name val="Calibri"/>
      <family val="2"/>
    </font>
    <font>
      <b/>
      <sz val="10"/>
      <color rgb="FFBB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b/>
      <sz val="10"/>
      <color rgb="FFC80000"/>
      <name val="Calibri"/>
      <family val="2"/>
      <scheme val="minor"/>
    </font>
    <font>
      <b/>
      <sz val="10"/>
      <color rgb="FF212121"/>
      <name val="Calibri"/>
      <family val="2"/>
    </font>
    <font>
      <b/>
      <sz val="10"/>
      <color rgb="FFC80000"/>
      <name val="Calibri"/>
      <family val="2"/>
    </font>
    <font>
      <b/>
      <sz val="10"/>
      <color rgb="FFC00000"/>
      <name val="Calibri"/>
      <family val="2"/>
    </font>
    <font>
      <sz val="8"/>
      <color theme="1"/>
      <name val="Calibri"/>
      <family val="2"/>
      <scheme val="minor"/>
    </font>
    <font>
      <b/>
      <sz val="10"/>
      <color rgb="FFE40000"/>
      <name val="Calibri"/>
      <family val="2"/>
    </font>
    <font>
      <b/>
      <sz val="10"/>
      <color rgb="FFE4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BE0000"/>
      <name val="Calibri"/>
      <family val="2"/>
      <scheme val="minor"/>
    </font>
    <font>
      <b/>
      <sz val="10"/>
      <color rgb="FF393939"/>
      <name val="Calibri"/>
      <family val="2"/>
      <scheme val="minor"/>
    </font>
    <font>
      <b/>
      <sz val="10"/>
      <color rgb="FFED0000"/>
      <name val="Times New Roman"/>
      <family val="1"/>
    </font>
    <font>
      <b/>
      <sz val="11"/>
      <color rgb="FF333333"/>
      <name val="Calibri"/>
      <family val="2"/>
      <scheme val="minor"/>
    </font>
    <font>
      <b/>
      <sz val="10"/>
      <color rgb="FF212121"/>
      <name val="Calibri"/>
      <family val="2"/>
      <scheme val="minor"/>
    </font>
    <font>
      <b/>
      <sz val="10"/>
      <color rgb="FF002C00"/>
      <name val="Calibri"/>
      <family val="2"/>
      <scheme val="minor"/>
    </font>
    <font>
      <b/>
      <sz val="10"/>
      <color rgb="FF191919"/>
      <name val="Calibri"/>
      <family val="2"/>
    </font>
    <font>
      <b/>
      <sz val="10"/>
      <color rgb="FF393939"/>
      <name val="Calibri"/>
      <family val="2"/>
    </font>
    <font>
      <b/>
      <sz val="10"/>
      <color theme="1"/>
      <name val="Times New Roman"/>
      <family val="1"/>
    </font>
    <font>
      <b/>
      <sz val="5"/>
      <name val="Calibri"/>
      <family val="2"/>
      <scheme val="minor"/>
    </font>
    <font>
      <b/>
      <sz val="7"/>
      <name val="Times New Roman"/>
      <family val="1"/>
    </font>
    <font>
      <sz val="7"/>
      <color rgb="FF000000"/>
      <name val="Times New Roman"/>
      <family val="1"/>
    </font>
    <font>
      <sz val="10"/>
      <color rgb="FFED0000"/>
      <name val="Calibri"/>
      <family val="2"/>
      <scheme val="minor"/>
    </font>
    <font>
      <sz val="1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0F1"/>
      </patternFill>
    </fill>
    <fill>
      <patternFill patternType="solid">
        <fgColor rgb="FFD0CECE"/>
      </patternFill>
    </fill>
    <fill>
      <patternFill patternType="solid">
        <fgColor rgb="FFFFFFFF"/>
        <bgColor rgb="FF000000"/>
      </patternFill>
    </fill>
    <fill>
      <patternFill patternType="solid">
        <fgColor rgb="FFCF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30">
    <xf numFmtId="0" fontId="0" fillId="0" borderId="0" xfId="0" applyAlignment="1">
      <alignment horizontal="left" vertical="top"/>
    </xf>
    <xf numFmtId="0" fontId="2" fillId="0" borderId="3" xfId="1" applyBorder="1" applyAlignment="1">
      <alignment horizontal="left" wrapText="1"/>
    </xf>
    <xf numFmtId="0" fontId="2" fillId="0" borderId="8" xfId="1" applyBorder="1" applyAlignment="1">
      <alignment horizontal="left" vertical="top" wrapText="1"/>
    </xf>
    <xf numFmtId="0" fontId="8" fillId="0" borderId="14" xfId="0" applyFont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 applyProtection="1">
      <alignment horizontal="center" vertical="center"/>
      <protection hidden="1"/>
    </xf>
    <xf numFmtId="0" fontId="8" fillId="0" borderId="3" xfId="1" applyFont="1" applyBorder="1" applyAlignment="1">
      <alignment horizontal="center" vertical="center" wrapText="1"/>
    </xf>
    <xf numFmtId="0" fontId="12" fillId="4" borderId="3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2" fillId="0" borderId="6" xfId="1" applyBorder="1" applyAlignment="1">
      <alignment horizontal="left" wrapText="1"/>
    </xf>
    <xf numFmtId="0" fontId="15" fillId="0" borderId="14" xfId="1" applyFont="1" applyBorder="1" applyAlignment="1">
      <alignment horizontal="center" vertical="top" wrapText="1"/>
    </xf>
    <xf numFmtId="0" fontId="16" fillId="0" borderId="14" xfId="1" applyFont="1" applyBorder="1" applyAlignment="1">
      <alignment horizontal="left" vertical="top" wrapText="1" indent="1"/>
    </xf>
    <xf numFmtId="164" fontId="17" fillId="3" borderId="14" xfId="1" applyNumberFormat="1" applyFont="1" applyFill="1" applyBorder="1" applyAlignment="1">
      <alignment horizontal="center" vertical="top" shrinkToFit="1"/>
    </xf>
    <xf numFmtId="0" fontId="18" fillId="0" borderId="14" xfId="1" applyFont="1" applyBorder="1" applyAlignment="1">
      <alignment horizontal="left" vertical="center" wrapText="1" indent="1"/>
    </xf>
    <xf numFmtId="164" fontId="17" fillId="3" borderId="16" xfId="1" applyNumberFormat="1" applyFont="1" applyFill="1" applyBorder="1" applyAlignment="1">
      <alignment horizontal="center" vertical="top" shrinkToFit="1"/>
    </xf>
    <xf numFmtId="0" fontId="12" fillId="4" borderId="2" xfId="1" applyFont="1" applyFill="1" applyBorder="1" applyAlignment="1">
      <alignment horizontal="center" vertical="center" wrapText="1"/>
    </xf>
    <xf numFmtId="0" fontId="2" fillId="0" borderId="2" xfId="1" applyBorder="1" applyAlignment="1">
      <alignment horizontal="left" wrapText="1"/>
    </xf>
    <xf numFmtId="0" fontId="2" fillId="0" borderId="18" xfId="1" applyBorder="1" applyAlignment="1">
      <alignment horizontal="left" wrapText="1"/>
    </xf>
    <xf numFmtId="0" fontId="2" fillId="0" borderId="11" xfId="1" applyBorder="1" applyAlignment="1">
      <alignment horizontal="left" vertical="top" wrapText="1"/>
    </xf>
    <xf numFmtId="0" fontId="8" fillId="3" borderId="14" xfId="1" applyFont="1" applyFill="1" applyBorder="1" applyAlignment="1">
      <alignment horizontal="center" vertical="center" wrapText="1"/>
    </xf>
    <xf numFmtId="1" fontId="9" fillId="0" borderId="14" xfId="1" applyNumberFormat="1" applyFont="1" applyBorder="1" applyAlignment="1">
      <alignment horizontal="center" vertical="center" shrinkToFit="1"/>
    </xf>
    <xf numFmtId="0" fontId="9" fillId="3" borderId="14" xfId="1" applyFont="1" applyFill="1" applyBorder="1" applyAlignment="1">
      <alignment horizontal="center" vertical="top" wrapText="1"/>
    </xf>
    <xf numFmtId="0" fontId="8" fillId="0" borderId="14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2" fillId="0" borderId="14" xfId="1" applyBorder="1" applyAlignment="1">
      <alignment horizontal="center" wrapText="1"/>
    </xf>
    <xf numFmtId="0" fontId="8" fillId="9" borderId="14" xfId="0" applyFont="1" applyFill="1" applyBorder="1" applyAlignment="1">
      <alignment horizontal="center" vertical="center" wrapText="1"/>
    </xf>
    <xf numFmtId="0" fontId="2" fillId="7" borderId="3" xfId="1" applyFill="1" applyBorder="1" applyAlignment="1">
      <alignment horizontal="left" wrapText="1"/>
    </xf>
    <xf numFmtId="0" fontId="8" fillId="10" borderId="14" xfId="0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8" fillId="7" borderId="3" xfId="1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center" vertical="center" wrapText="1"/>
    </xf>
    <xf numFmtId="0" fontId="8" fillId="11" borderId="2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8" fillId="12" borderId="3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left" vertical="top" wrapText="1"/>
    </xf>
    <xf numFmtId="1" fontId="9" fillId="0" borderId="3" xfId="1" applyNumberFormat="1" applyFont="1" applyBorder="1" applyAlignment="1">
      <alignment horizontal="center" vertical="center" shrinkToFit="1"/>
    </xf>
    <xf numFmtId="0" fontId="8" fillId="13" borderId="3" xfId="1" applyFont="1" applyFill="1" applyBorder="1" applyAlignment="1">
      <alignment horizontal="center" vertical="top" wrapText="1"/>
    </xf>
    <xf numFmtId="0" fontId="9" fillId="0" borderId="3" xfId="1" applyFont="1" applyBorder="1" applyAlignment="1">
      <alignment horizontal="left" wrapText="1"/>
    </xf>
    <xf numFmtId="0" fontId="9" fillId="4" borderId="3" xfId="1" applyFont="1" applyFill="1" applyBorder="1" applyAlignment="1">
      <alignment horizontal="left" wrapText="1"/>
    </xf>
    <xf numFmtId="0" fontId="8" fillId="4" borderId="3" xfId="1" applyFont="1" applyFill="1" applyBorder="1" applyAlignment="1">
      <alignment horizontal="center" vertical="top" wrapText="1"/>
    </xf>
    <xf numFmtId="0" fontId="9" fillId="7" borderId="3" xfId="1" applyFont="1" applyFill="1" applyBorder="1" applyAlignment="1">
      <alignment horizontal="left" wrapText="1"/>
    </xf>
    <xf numFmtId="0" fontId="8" fillId="7" borderId="3" xfId="1" applyFont="1" applyFill="1" applyBorder="1" applyAlignment="1">
      <alignment horizontal="center" vertical="top" wrapText="1"/>
    </xf>
    <xf numFmtId="0" fontId="8" fillId="0" borderId="3" xfId="1" applyFont="1" applyBorder="1" applyAlignment="1">
      <alignment horizontal="center" vertical="top" wrapText="1"/>
    </xf>
    <xf numFmtId="0" fontId="13" fillId="9" borderId="14" xfId="0" applyFont="1" applyFill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" fontId="9" fillId="0" borderId="14" xfId="1" applyNumberFormat="1" applyFont="1" applyBorder="1" applyAlignment="1">
      <alignment horizontal="left" vertical="center" shrinkToFit="1"/>
    </xf>
    <xf numFmtId="0" fontId="22" fillId="0" borderId="3" xfId="1" applyFont="1" applyBorder="1" applyAlignment="1">
      <alignment horizontal="center" vertical="center" wrapText="1"/>
    </xf>
    <xf numFmtId="0" fontId="21" fillId="4" borderId="3" xfId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3" xfId="1" applyFont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horizontal="center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wrapText="1"/>
    </xf>
    <xf numFmtId="0" fontId="32" fillId="0" borderId="3" xfId="0" applyFont="1" applyBorder="1" applyAlignment="1">
      <alignment horizontal="left" vertical="top" wrapText="1" indent="2"/>
    </xf>
    <xf numFmtId="0" fontId="15" fillId="0" borderId="3" xfId="0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3" xfId="0" applyFont="1" applyBorder="1" applyAlignment="1">
      <alignment vertical="top" wrapText="1"/>
    </xf>
    <xf numFmtId="0" fontId="29" fillId="0" borderId="3" xfId="0" applyFont="1" applyBorder="1" applyAlignment="1">
      <alignment horizontal="left" wrapText="1"/>
    </xf>
    <xf numFmtId="0" fontId="35" fillId="0" borderId="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1" fontId="40" fillId="0" borderId="3" xfId="0" applyNumberFormat="1" applyFont="1" applyBorder="1" applyAlignment="1">
      <alignment horizontal="center" vertical="center" shrinkToFit="1"/>
    </xf>
    <xf numFmtId="0" fontId="41" fillId="0" borderId="0" xfId="0" applyFont="1" applyAlignment="1">
      <alignment horizontal="left" vertical="center"/>
    </xf>
    <xf numFmtId="0" fontId="40" fillId="3" borderId="3" xfId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164" fontId="43" fillId="3" borderId="3" xfId="1" applyNumberFormat="1" applyFont="1" applyFill="1" applyBorder="1" applyAlignment="1">
      <alignment horizontal="center" vertical="center" shrinkToFit="1"/>
    </xf>
    <xf numFmtId="0" fontId="28" fillId="0" borderId="14" xfId="1" applyFont="1" applyBorder="1" applyAlignment="1">
      <alignment horizontal="left" vertical="center" wrapText="1"/>
    </xf>
    <xf numFmtId="1" fontId="27" fillId="0" borderId="3" xfId="1" applyNumberFormat="1" applyFont="1" applyBorder="1" applyAlignment="1">
      <alignment horizontal="left" vertical="top" shrinkToFit="1"/>
    </xf>
    <xf numFmtId="1" fontId="27" fillId="0" borderId="14" xfId="1" applyNumberFormat="1" applyFont="1" applyBorder="1" applyAlignment="1">
      <alignment horizontal="left" vertical="center" shrinkToFit="1"/>
    </xf>
    <xf numFmtId="0" fontId="28" fillId="0" borderId="14" xfId="1" applyFont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center" vertical="center" wrapText="1"/>
    </xf>
    <xf numFmtId="0" fontId="10" fillId="12" borderId="3" xfId="1" applyFont="1" applyFill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3" fillId="7" borderId="3" xfId="1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 applyProtection="1">
      <alignment horizontal="center" vertical="center"/>
      <protection hidden="1"/>
    </xf>
    <xf numFmtId="0" fontId="42" fillId="0" borderId="3" xfId="0" applyFont="1" applyBorder="1" applyAlignment="1">
      <alignment horizontal="center" vertical="center" wrapText="1"/>
    </xf>
    <xf numFmtId="0" fontId="24" fillId="4" borderId="3" xfId="1" applyFont="1" applyFill="1" applyBorder="1" applyAlignment="1">
      <alignment horizontal="center" vertical="center" wrapText="1"/>
    </xf>
    <xf numFmtId="0" fontId="24" fillId="7" borderId="3" xfId="1" applyFont="1" applyFill="1" applyBorder="1" applyAlignment="1">
      <alignment horizontal="center" vertical="center" wrapText="1"/>
    </xf>
    <xf numFmtId="0" fontId="8" fillId="14" borderId="3" xfId="1" applyFont="1" applyFill="1" applyBorder="1" applyAlignment="1">
      <alignment horizontal="center" vertical="center" wrapText="1"/>
    </xf>
    <xf numFmtId="0" fontId="12" fillId="14" borderId="3" xfId="1" applyFont="1" applyFill="1" applyBorder="1" applyAlignment="1">
      <alignment horizontal="center" vertical="center" wrapText="1"/>
    </xf>
    <xf numFmtId="0" fontId="8" fillId="14" borderId="3" xfId="1" applyFont="1" applyFill="1" applyBorder="1" applyAlignment="1">
      <alignment horizontal="center" vertical="top" wrapText="1"/>
    </xf>
    <xf numFmtId="0" fontId="9" fillId="14" borderId="3" xfId="1" applyFont="1" applyFill="1" applyBorder="1" applyAlignment="1">
      <alignment horizontal="left" wrapText="1"/>
    </xf>
    <xf numFmtId="0" fontId="13" fillId="10" borderId="14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4" fillId="11" borderId="3" xfId="1" applyFont="1" applyFill="1" applyBorder="1" applyAlignment="1">
      <alignment horizontal="center" vertical="center" wrapText="1"/>
    </xf>
    <xf numFmtId="0" fontId="10" fillId="11" borderId="3" xfId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8" fillId="14" borderId="2" xfId="1" applyFont="1" applyFill="1" applyBorder="1" applyAlignment="1">
      <alignment horizontal="center" vertical="center" wrapText="1"/>
    </xf>
    <xf numFmtId="0" fontId="12" fillId="14" borderId="2" xfId="1" applyFont="1" applyFill="1" applyBorder="1" applyAlignment="1">
      <alignment horizontal="center" vertical="center" wrapText="1"/>
    </xf>
    <xf numFmtId="1" fontId="44" fillId="11" borderId="3" xfId="0" applyNumberFormat="1" applyFont="1" applyFill="1" applyBorder="1" applyAlignment="1">
      <alignment horizontal="center" vertical="top" shrinkToFit="1"/>
    </xf>
    <xf numFmtId="0" fontId="22" fillId="4" borderId="3" xfId="1" applyFont="1" applyFill="1" applyBorder="1" applyAlignment="1">
      <alignment horizontal="center" vertical="center" wrapText="1"/>
    </xf>
    <xf numFmtId="0" fontId="21" fillId="11" borderId="3" xfId="1" applyFont="1" applyFill="1" applyBorder="1" applyAlignment="1">
      <alignment horizontal="center" vertical="center" wrapText="1"/>
    </xf>
    <xf numFmtId="0" fontId="22" fillId="10" borderId="14" xfId="0" applyFont="1" applyFill="1" applyBorder="1" applyAlignment="1">
      <alignment horizontal="center" vertical="center" wrapText="1"/>
    </xf>
    <xf numFmtId="0" fontId="9" fillId="0" borderId="14" xfId="1" applyFont="1" applyBorder="1" applyAlignment="1">
      <alignment horizontal="left" vertical="center" wrapText="1"/>
    </xf>
    <xf numFmtId="0" fontId="2" fillId="11" borderId="2" xfId="1" applyFill="1" applyBorder="1" applyAlignment="1">
      <alignment horizontal="left" wrapText="1"/>
    </xf>
    <xf numFmtId="0" fontId="23" fillId="9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6" fillId="9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 applyProtection="1">
      <alignment horizontal="center" vertical="center"/>
      <protection hidden="1"/>
    </xf>
    <xf numFmtId="0" fontId="10" fillId="7" borderId="3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11" borderId="3" xfId="0" applyFont="1" applyFill="1" applyBorder="1" applyAlignment="1">
      <alignment horizontal="left" wrapText="1"/>
    </xf>
    <xf numFmtId="0" fontId="23" fillId="11" borderId="3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left" wrapText="1"/>
    </xf>
    <xf numFmtId="0" fontId="23" fillId="0" borderId="3" xfId="0" applyFont="1" applyBorder="1" applyAlignment="1">
      <alignment horizontal="center" vertical="top" wrapText="1"/>
    </xf>
    <xf numFmtId="0" fontId="23" fillId="2" borderId="3" xfId="0" applyFont="1" applyFill="1" applyBorder="1" applyAlignment="1">
      <alignment horizontal="center" vertical="top" wrapText="1"/>
    </xf>
    <xf numFmtId="0" fontId="24" fillId="11" borderId="3" xfId="0" applyFont="1" applyFill="1" applyBorder="1" applyAlignment="1">
      <alignment horizontal="left" wrapText="1"/>
    </xf>
    <xf numFmtId="0" fontId="10" fillId="11" borderId="3" xfId="0" applyFont="1" applyFill="1" applyBorder="1" applyAlignment="1">
      <alignment horizontal="center" vertical="top" wrapText="1"/>
    </xf>
    <xf numFmtId="0" fontId="24" fillId="7" borderId="3" xfId="0" applyFont="1" applyFill="1" applyBorder="1" applyAlignment="1">
      <alignment horizontal="left" wrapText="1"/>
    </xf>
    <xf numFmtId="0" fontId="24" fillId="0" borderId="3" xfId="0" applyFont="1" applyBorder="1" applyAlignment="1">
      <alignment horizontal="left" wrapText="1"/>
    </xf>
    <xf numFmtId="0" fontId="24" fillId="7" borderId="3" xfId="1" applyFont="1" applyFill="1" applyBorder="1" applyAlignment="1">
      <alignment horizontal="left" wrapText="1"/>
    </xf>
    <xf numFmtId="0" fontId="24" fillId="11" borderId="3" xfId="1" applyFont="1" applyFill="1" applyBorder="1" applyAlignment="1">
      <alignment horizontal="left" wrapText="1"/>
    </xf>
    <xf numFmtId="0" fontId="24" fillId="0" borderId="3" xfId="1" applyFont="1" applyBorder="1" applyAlignment="1">
      <alignment horizontal="left" wrapText="1"/>
    </xf>
    <xf numFmtId="0" fontId="23" fillId="7" borderId="3" xfId="1" applyFont="1" applyFill="1" applyBorder="1" applyAlignment="1">
      <alignment horizontal="left" wrapText="1"/>
    </xf>
    <xf numFmtId="0" fontId="23" fillId="11" borderId="3" xfId="1" applyFont="1" applyFill="1" applyBorder="1" applyAlignment="1">
      <alignment horizontal="left" wrapText="1"/>
    </xf>
    <xf numFmtId="0" fontId="10" fillId="7" borderId="3" xfId="0" applyFont="1" applyFill="1" applyBorder="1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21" fillId="7" borderId="3" xfId="1" applyFont="1" applyFill="1" applyBorder="1" applyAlignment="1">
      <alignment horizontal="center" vertical="center" wrapText="1"/>
    </xf>
    <xf numFmtId="0" fontId="47" fillId="0" borderId="14" xfId="1" applyFont="1" applyBorder="1" applyAlignment="1">
      <alignment horizontal="center" wrapText="1"/>
    </xf>
    <xf numFmtId="0" fontId="23" fillId="7" borderId="3" xfId="0" applyFont="1" applyFill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left" wrapText="1"/>
    </xf>
    <xf numFmtId="0" fontId="23" fillId="11" borderId="3" xfId="1" applyFont="1" applyFill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13" fillId="12" borderId="3" xfId="1" applyFont="1" applyFill="1" applyBorder="1" applyAlignment="1">
      <alignment horizontal="center" vertical="center" wrapText="1"/>
    </xf>
    <xf numFmtId="0" fontId="23" fillId="12" borderId="3" xfId="1" applyFont="1" applyFill="1" applyBorder="1" applyAlignment="1">
      <alignment horizontal="center" vertical="center" wrapText="1"/>
    </xf>
    <xf numFmtId="0" fontId="24" fillId="0" borderId="3" xfId="1" applyFont="1" applyBorder="1" applyAlignment="1">
      <alignment horizontal="left"/>
    </xf>
    <xf numFmtId="0" fontId="10" fillId="0" borderId="3" xfId="1" applyFont="1" applyBorder="1" applyAlignment="1">
      <alignment horizontal="left" vertical="top" wrapText="1"/>
    </xf>
    <xf numFmtId="0" fontId="38" fillId="0" borderId="3" xfId="1" applyFont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25" fillId="7" borderId="19" xfId="0" applyFont="1" applyFill="1" applyBorder="1" applyAlignment="1" applyProtection="1">
      <alignment horizontal="center" vertical="center"/>
      <protection hidden="1"/>
    </xf>
    <xf numFmtId="1" fontId="24" fillId="0" borderId="20" xfId="1" applyNumberFormat="1" applyFont="1" applyBorder="1" applyAlignment="1">
      <alignment horizontal="left" vertical="center" shrinkToFit="1"/>
    </xf>
    <xf numFmtId="1" fontId="24" fillId="0" borderId="2" xfId="1" applyNumberFormat="1" applyFont="1" applyBorder="1" applyAlignment="1">
      <alignment horizontal="left" vertical="center" shrinkToFit="1"/>
    </xf>
    <xf numFmtId="0" fontId="23" fillId="4" borderId="3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9" fillId="7" borderId="3" xfId="1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center" vertical="top" wrapText="1"/>
    </xf>
    <xf numFmtId="0" fontId="13" fillId="11" borderId="3" xfId="1" applyFont="1" applyFill="1" applyBorder="1" applyAlignment="1">
      <alignment horizontal="center" vertical="center" wrapText="1"/>
    </xf>
    <xf numFmtId="0" fontId="13" fillId="11" borderId="2" xfId="1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left" wrapText="1"/>
    </xf>
    <xf numFmtId="0" fontId="9" fillId="14" borderId="2" xfId="1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wrapText="1"/>
    </xf>
    <xf numFmtId="0" fontId="0" fillId="0" borderId="3" xfId="0" applyBorder="1" applyAlignment="1">
      <alignment horizontal="left" vertical="top"/>
    </xf>
    <xf numFmtId="0" fontId="9" fillId="11" borderId="2" xfId="1" applyFont="1" applyFill="1" applyBorder="1" applyAlignment="1">
      <alignment horizontal="center" vertical="center" wrapText="1"/>
    </xf>
    <xf numFmtId="0" fontId="9" fillId="11" borderId="3" xfId="1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left" vertical="top"/>
    </xf>
    <xf numFmtId="0" fontId="2" fillId="0" borderId="18" xfId="1" applyBorder="1" applyAlignment="1">
      <alignment horizontal="center" wrapText="1"/>
    </xf>
    <xf numFmtId="0" fontId="10" fillId="7" borderId="21" xfId="0" applyFont="1" applyFill="1" applyBorder="1" applyAlignment="1" applyProtection="1">
      <alignment horizontal="center" vertical="center"/>
      <protection hidden="1"/>
    </xf>
    <xf numFmtId="0" fontId="4" fillId="0" borderId="11" xfId="1" applyFont="1" applyBorder="1" applyAlignment="1">
      <alignment horizontal="left" vertical="top" wrapText="1"/>
    </xf>
    <xf numFmtId="0" fontId="2" fillId="0" borderId="13" xfId="1" applyBorder="1" applyAlignment="1">
      <alignment horizontal="left" vertical="top" wrapText="1"/>
    </xf>
    <xf numFmtId="0" fontId="8" fillId="7" borderId="14" xfId="0" applyFont="1" applyFill="1" applyBorder="1" applyAlignment="1">
      <alignment horizontal="center" vertical="center" wrapText="1"/>
    </xf>
    <xf numFmtId="0" fontId="9" fillId="11" borderId="3" xfId="1" applyFont="1" applyFill="1" applyBorder="1" applyAlignment="1">
      <alignment horizontal="left" wrapText="1"/>
    </xf>
    <xf numFmtId="0" fontId="13" fillId="7" borderId="3" xfId="1" applyFont="1" applyFill="1" applyBorder="1" applyAlignment="1">
      <alignment horizontal="left" wrapText="1"/>
    </xf>
    <xf numFmtId="0" fontId="13" fillId="11" borderId="3" xfId="1" applyFont="1" applyFill="1" applyBorder="1" applyAlignment="1">
      <alignment horizontal="left" wrapText="1"/>
    </xf>
    <xf numFmtId="0" fontId="8" fillId="0" borderId="6" xfId="1" applyFont="1" applyBorder="1" applyAlignment="1">
      <alignment horizontal="left" wrapText="1"/>
    </xf>
    <xf numFmtId="0" fontId="8" fillId="0" borderId="14" xfId="1" applyFont="1" applyBorder="1" applyAlignment="1">
      <alignment horizontal="left" wrapText="1"/>
    </xf>
    <xf numFmtId="0" fontId="9" fillId="0" borderId="6" xfId="1" applyFont="1" applyBorder="1" applyAlignment="1">
      <alignment horizontal="left" wrapText="1"/>
    </xf>
    <xf numFmtId="0" fontId="9" fillId="11" borderId="6" xfId="1" applyFont="1" applyFill="1" applyBorder="1" applyAlignment="1">
      <alignment horizontal="left" wrapText="1"/>
    </xf>
    <xf numFmtId="0" fontId="9" fillId="0" borderId="14" xfId="1" applyFont="1" applyBorder="1" applyAlignment="1">
      <alignment horizontal="left" wrapText="1"/>
    </xf>
    <xf numFmtId="0" fontId="9" fillId="11" borderId="14" xfId="1" applyFont="1" applyFill="1" applyBorder="1" applyAlignment="1">
      <alignment horizontal="left" wrapText="1"/>
    </xf>
    <xf numFmtId="0" fontId="8" fillId="0" borderId="6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7" fillId="6" borderId="14" xfId="0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wrapText="1"/>
    </xf>
    <xf numFmtId="0" fontId="8" fillId="10" borderId="14" xfId="0" applyFont="1" applyFill="1" applyBorder="1" applyAlignment="1">
      <alignment horizontal="center" vertical="top" wrapText="1"/>
    </xf>
    <xf numFmtId="0" fontId="9" fillId="11" borderId="3" xfId="1" applyFont="1" applyFill="1" applyBorder="1" applyAlignment="1">
      <alignment horizontal="center" vertical="top" wrapText="1"/>
    </xf>
    <xf numFmtId="0" fontId="13" fillId="10" borderId="14" xfId="0" applyFont="1" applyFill="1" applyBorder="1" applyAlignment="1">
      <alignment horizontal="center" vertical="top" wrapText="1"/>
    </xf>
    <xf numFmtId="0" fontId="13" fillId="11" borderId="3" xfId="1" applyFont="1" applyFill="1" applyBorder="1" applyAlignment="1">
      <alignment horizontal="center" vertical="top" wrapText="1"/>
    </xf>
    <xf numFmtId="0" fontId="13" fillId="10" borderId="22" xfId="0" applyFont="1" applyFill="1" applyBorder="1" applyAlignment="1">
      <alignment horizontal="center" vertical="center" wrapText="1"/>
    </xf>
    <xf numFmtId="0" fontId="8" fillId="11" borderId="4" xfId="1" applyFont="1" applyFill="1" applyBorder="1" applyAlignment="1">
      <alignment horizontal="center" vertical="center" wrapText="1"/>
    </xf>
    <xf numFmtId="0" fontId="9" fillId="11" borderId="4" xfId="1" applyFont="1" applyFill="1" applyBorder="1" applyAlignment="1">
      <alignment horizontal="center" vertical="center" wrapText="1"/>
    </xf>
    <xf numFmtId="0" fontId="13" fillId="11" borderId="4" xfId="1" applyFont="1" applyFill="1" applyBorder="1" applyAlignment="1">
      <alignment horizontal="center" vertical="center" wrapText="1"/>
    </xf>
    <xf numFmtId="0" fontId="9" fillId="11" borderId="4" xfId="1" applyFont="1" applyFill="1" applyBorder="1" applyAlignment="1">
      <alignment horizontal="left" wrapText="1"/>
    </xf>
    <xf numFmtId="0" fontId="9" fillId="11" borderId="22" xfId="1" applyFont="1" applyFill="1" applyBorder="1" applyAlignment="1">
      <alignment horizontal="left" wrapText="1"/>
    </xf>
    <xf numFmtId="0" fontId="13" fillId="11" borderId="2" xfId="1" applyFont="1" applyFill="1" applyBorder="1" applyAlignment="1">
      <alignment horizontal="center" wrapText="1"/>
    </xf>
    <xf numFmtId="0" fontId="13" fillId="11" borderId="14" xfId="1" applyFont="1" applyFill="1" applyBorder="1" applyAlignment="1">
      <alignment horizontal="center" wrapText="1"/>
    </xf>
    <xf numFmtId="0" fontId="8" fillId="14" borderId="2" xfId="1" applyFont="1" applyFill="1" applyBorder="1" applyAlignment="1">
      <alignment horizontal="center" wrapText="1"/>
    </xf>
    <xf numFmtId="0" fontId="9" fillId="14" borderId="2" xfId="1" applyFont="1" applyFill="1" applyBorder="1" applyAlignment="1">
      <alignment horizontal="center" wrapText="1"/>
    </xf>
    <xf numFmtId="0" fontId="9" fillId="15" borderId="3" xfId="1" applyFont="1" applyFill="1" applyBorder="1" applyAlignment="1">
      <alignment horizontal="center" vertical="center" wrapText="1"/>
    </xf>
    <xf numFmtId="0" fontId="8" fillId="15" borderId="3" xfId="1" applyFont="1" applyFill="1" applyBorder="1" applyAlignment="1">
      <alignment horizontal="center" vertical="center" wrapText="1"/>
    </xf>
    <xf numFmtId="0" fontId="9" fillId="15" borderId="14" xfId="1" applyFont="1" applyFill="1" applyBorder="1" applyAlignment="1">
      <alignment horizontal="center" wrapText="1"/>
    </xf>
    <xf numFmtId="0" fontId="25" fillId="11" borderId="3" xfId="0" applyFont="1" applyFill="1" applyBorder="1" applyAlignment="1" applyProtection="1">
      <alignment horizontal="center" vertical="center"/>
      <protection hidden="1"/>
    </xf>
    <xf numFmtId="0" fontId="25" fillId="11" borderId="19" xfId="0" applyFont="1" applyFill="1" applyBorder="1" applyAlignment="1" applyProtection="1">
      <alignment horizontal="center" vertical="center"/>
      <protection hidden="1"/>
    </xf>
    <xf numFmtId="0" fontId="9" fillId="0" borderId="3" xfId="1" applyFont="1" applyBorder="1" applyAlignment="1">
      <alignment horizontal="left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24" fillId="15" borderId="3" xfId="1" applyFont="1" applyFill="1" applyBorder="1" applyAlignment="1">
      <alignment horizontal="center" vertical="center" wrapText="1"/>
    </xf>
    <xf numFmtId="0" fontId="10" fillId="15" borderId="3" xfId="1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13" fillId="11" borderId="0" xfId="1" applyFont="1" applyFill="1" applyAlignment="1">
      <alignment horizontal="center" wrapText="1"/>
    </xf>
    <xf numFmtId="0" fontId="9" fillId="0" borderId="0" xfId="1" applyFont="1" applyAlignment="1">
      <alignment horizontal="left" wrapText="1"/>
    </xf>
    <xf numFmtId="0" fontId="9" fillId="15" borderId="0" xfId="1" applyFont="1" applyFill="1" applyAlignment="1">
      <alignment horizontal="center" wrapText="1"/>
    </xf>
    <xf numFmtId="0" fontId="9" fillId="11" borderId="0" xfId="1" applyFont="1" applyFill="1" applyAlignment="1">
      <alignment horizontal="left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23" fillId="0" borderId="3" xfId="1" applyFont="1" applyBorder="1" applyAlignment="1">
      <alignment horizontal="left" vertical="top" wrapText="1"/>
    </xf>
    <xf numFmtId="0" fontId="8" fillId="11" borderId="0" xfId="1" applyFont="1" applyFill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 wrapText="1"/>
    </xf>
    <xf numFmtId="0" fontId="53" fillId="7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23" fillId="11" borderId="0" xfId="0" applyFont="1" applyFill="1" applyAlignment="1">
      <alignment horizontal="left" vertical="top"/>
    </xf>
    <xf numFmtId="0" fontId="11" fillId="11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54" fillId="11" borderId="3" xfId="1" applyFont="1" applyFill="1" applyBorder="1" applyAlignment="1">
      <alignment horizontal="center" vertical="center" wrapText="1"/>
    </xf>
    <xf numFmtId="0" fontId="54" fillId="7" borderId="3" xfId="1" applyFont="1" applyFill="1" applyBorder="1" applyAlignment="1">
      <alignment horizontal="center" vertical="center" wrapText="1"/>
    </xf>
    <xf numFmtId="0" fontId="54" fillId="7" borderId="3" xfId="1" applyFont="1" applyFill="1" applyBorder="1" applyAlignment="1">
      <alignment horizontal="left" wrapText="1"/>
    </xf>
    <xf numFmtId="0" fontId="8" fillId="7" borderId="4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/>
    </xf>
    <xf numFmtId="0" fontId="9" fillId="7" borderId="4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left" wrapText="1"/>
    </xf>
    <xf numFmtId="0" fontId="9" fillId="0" borderId="8" xfId="1" applyFont="1" applyBorder="1" applyAlignment="1">
      <alignment horizontal="left" wrapText="1"/>
    </xf>
    <xf numFmtId="0" fontId="9" fillId="7" borderId="0" xfId="1" applyFont="1" applyFill="1" applyAlignment="1">
      <alignment horizontal="center" wrapText="1"/>
    </xf>
    <xf numFmtId="0" fontId="9" fillId="7" borderId="14" xfId="1" applyFont="1" applyFill="1" applyBorder="1" applyAlignment="1">
      <alignment horizontal="center" wrapText="1"/>
    </xf>
    <xf numFmtId="0" fontId="54" fillId="11" borderId="4" xfId="1" applyFont="1" applyFill="1" applyBorder="1" applyAlignment="1">
      <alignment horizontal="center" vertical="center" wrapText="1"/>
    </xf>
    <xf numFmtId="0" fontId="13" fillId="14" borderId="2" xfId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top" wrapText="1"/>
    </xf>
    <xf numFmtId="0" fontId="32" fillId="0" borderId="11" xfId="0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1" fontId="9" fillId="0" borderId="0" xfId="1" applyNumberFormat="1" applyFont="1" applyAlignment="1">
      <alignment horizontal="left" vertical="center" shrinkToFit="1"/>
    </xf>
    <xf numFmtId="0" fontId="2" fillId="0" borderId="0" xfId="1" applyAlignment="1">
      <alignment horizontal="center" wrapText="1"/>
    </xf>
    <xf numFmtId="0" fontId="53" fillId="0" borderId="3" xfId="1" applyFont="1" applyBorder="1" applyAlignment="1">
      <alignment horizontal="left" vertical="top" wrapText="1"/>
    </xf>
    <xf numFmtId="0" fontId="54" fillId="0" borderId="14" xfId="1" applyFont="1" applyBorder="1" applyAlignment="1">
      <alignment horizontal="left" vertical="center" wrapText="1"/>
    </xf>
    <xf numFmtId="0" fontId="54" fillId="0" borderId="0" xfId="0" applyFont="1" applyAlignment="1">
      <alignment horizontal="left" vertical="top" wrapText="1"/>
    </xf>
    <xf numFmtId="0" fontId="13" fillId="0" borderId="0" xfId="1" applyFont="1" applyAlignment="1">
      <alignment horizontal="left" wrapText="1"/>
    </xf>
    <xf numFmtId="0" fontId="53" fillId="0" borderId="3" xfId="1" applyFont="1" applyBorder="1" applyAlignment="1">
      <alignment horizontal="center" vertical="center" wrapText="1"/>
    </xf>
    <xf numFmtId="0" fontId="53" fillId="15" borderId="3" xfId="0" applyFont="1" applyFill="1" applyBorder="1" applyAlignment="1">
      <alignment horizontal="center" vertical="center" wrapText="1"/>
    </xf>
    <xf numFmtId="0" fontId="8" fillId="11" borderId="4" xfId="1" applyFont="1" applyFill="1" applyBorder="1" applyAlignment="1">
      <alignment horizontal="center" vertical="top" wrapText="1"/>
    </xf>
    <xf numFmtId="0" fontId="0" fillId="11" borderId="4" xfId="0" applyFill="1" applyBorder="1" applyAlignment="1">
      <alignment horizontal="left" vertical="top"/>
    </xf>
    <xf numFmtId="0" fontId="9" fillId="11" borderId="8" xfId="1" applyFont="1" applyFill="1" applyBorder="1" applyAlignment="1">
      <alignment horizontal="left" wrapText="1"/>
    </xf>
    <xf numFmtId="0" fontId="0" fillId="11" borderId="0" xfId="0" applyFill="1" applyAlignment="1">
      <alignment horizontal="left" vertical="top"/>
    </xf>
    <xf numFmtId="0" fontId="8" fillId="7" borderId="14" xfId="1" applyFont="1" applyFill="1" applyBorder="1" applyAlignment="1">
      <alignment horizontal="left" vertical="center" wrapText="1"/>
    </xf>
    <xf numFmtId="0" fontId="53" fillId="7" borderId="3" xfId="1" applyFont="1" applyFill="1" applyBorder="1" applyAlignment="1">
      <alignment horizontal="center" vertical="center" wrapText="1"/>
    </xf>
    <xf numFmtId="0" fontId="53" fillId="11" borderId="3" xfId="0" applyFont="1" applyFill="1" applyBorder="1" applyAlignment="1">
      <alignment horizontal="center" vertical="center" wrapText="1"/>
    </xf>
    <xf numFmtId="0" fontId="53" fillId="11" borderId="3" xfId="1" applyFont="1" applyFill="1" applyBorder="1" applyAlignment="1">
      <alignment horizontal="center" vertical="center" wrapText="1"/>
    </xf>
    <xf numFmtId="0" fontId="8" fillId="15" borderId="0" xfId="1" applyFont="1" applyFill="1" applyAlignment="1">
      <alignment horizontal="center" vertical="center" wrapText="1"/>
    </xf>
    <xf numFmtId="0" fontId="9" fillId="7" borderId="0" xfId="1" applyFont="1" applyFill="1" applyAlignment="1">
      <alignment horizontal="left" wrapText="1"/>
    </xf>
    <xf numFmtId="0" fontId="9" fillId="11" borderId="0" xfId="1" applyFont="1" applyFill="1" applyAlignment="1">
      <alignment horizontal="center" vertical="center" wrapText="1"/>
    </xf>
    <xf numFmtId="0" fontId="8" fillId="11" borderId="0" xfId="1" applyFont="1" applyFill="1" applyAlignment="1">
      <alignment horizontal="left" wrapText="1"/>
    </xf>
    <xf numFmtId="0" fontId="54" fillId="7" borderId="0" xfId="1" applyFont="1" applyFill="1" applyAlignment="1">
      <alignment horizontal="left" wrapText="1"/>
    </xf>
    <xf numFmtId="0" fontId="23" fillId="0" borderId="0" xfId="1" applyFont="1" applyAlignment="1">
      <alignment horizontal="center" vertical="center" wrapText="1"/>
    </xf>
    <xf numFmtId="0" fontId="55" fillId="11" borderId="3" xfId="1" applyFont="1" applyFill="1" applyBorder="1" applyAlignment="1">
      <alignment horizontal="center" vertical="center" wrapText="1"/>
    </xf>
    <xf numFmtId="0" fontId="54" fillId="9" borderId="14" xfId="0" applyFont="1" applyFill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wrapText="1"/>
    </xf>
    <xf numFmtId="0" fontId="56" fillId="7" borderId="3" xfId="0" applyFont="1" applyFill="1" applyBorder="1" applyAlignment="1">
      <alignment horizontal="center" vertical="center" wrapText="1"/>
    </xf>
    <xf numFmtId="0" fontId="56" fillId="11" borderId="3" xfId="0" applyFont="1" applyFill="1" applyBorder="1" applyAlignment="1">
      <alignment horizontal="center" vertical="center" wrapText="1"/>
    </xf>
    <xf numFmtId="0" fontId="57" fillId="7" borderId="0" xfId="1" applyFont="1" applyFill="1" applyAlignment="1">
      <alignment horizontal="left" wrapText="1"/>
    </xf>
    <xf numFmtId="0" fontId="9" fillId="15" borderId="6" xfId="1" applyFont="1" applyFill="1" applyBorder="1" applyAlignment="1">
      <alignment horizontal="left" wrapText="1"/>
    </xf>
    <xf numFmtId="0" fontId="57" fillId="7" borderId="3" xfId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48" fillId="0" borderId="2" xfId="1" applyFont="1" applyBorder="1" applyAlignment="1">
      <alignment horizontal="center" vertical="center" wrapText="1"/>
    </xf>
    <xf numFmtId="0" fontId="58" fillId="0" borderId="14" xfId="1" applyFont="1" applyBorder="1" applyAlignment="1">
      <alignment horizontal="left" vertical="center" wrapText="1"/>
    </xf>
    <xf numFmtId="0" fontId="10" fillId="7" borderId="3" xfId="1" applyFont="1" applyFill="1" applyBorder="1" applyAlignment="1">
      <alignment horizontal="left" vertical="top" wrapText="1"/>
    </xf>
    <xf numFmtId="0" fontId="59" fillId="7" borderId="3" xfId="0" applyFont="1" applyFill="1" applyBorder="1" applyAlignment="1">
      <alignment horizontal="center" vertical="center" wrapText="1"/>
    </xf>
    <xf numFmtId="0" fontId="59" fillId="7" borderId="3" xfId="1" applyFont="1" applyFill="1" applyBorder="1" applyAlignment="1">
      <alignment horizontal="center" vertical="center" wrapText="1"/>
    </xf>
    <xf numFmtId="0" fontId="60" fillId="7" borderId="3" xfId="1" applyFont="1" applyFill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60" fillId="7" borderId="3" xfId="0" applyFont="1" applyFill="1" applyBorder="1" applyAlignment="1">
      <alignment horizontal="center" vertical="center" wrapText="1"/>
    </xf>
    <xf numFmtId="0" fontId="62" fillId="7" borderId="3" xfId="1" applyFont="1" applyFill="1" applyBorder="1" applyAlignment="1">
      <alignment horizontal="center" vertical="center" wrapText="1"/>
    </xf>
    <xf numFmtId="164" fontId="43" fillId="8" borderId="3" xfId="1" applyNumberFormat="1" applyFont="1" applyFill="1" applyBorder="1" applyAlignment="1">
      <alignment horizontal="center" vertical="center" shrinkToFit="1"/>
    </xf>
    <xf numFmtId="0" fontId="8" fillId="7" borderId="2" xfId="1" applyFont="1" applyFill="1" applyBorder="1" applyAlignment="1">
      <alignment horizontal="center" vertical="center" wrapText="1"/>
    </xf>
    <xf numFmtId="0" fontId="9" fillId="12" borderId="2" xfId="1" applyFont="1" applyFill="1" applyBorder="1" applyAlignment="1">
      <alignment horizontal="center" vertical="center" wrapText="1"/>
    </xf>
    <xf numFmtId="0" fontId="13" fillId="12" borderId="2" xfId="1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wrapText="1"/>
    </xf>
    <xf numFmtId="0" fontId="13" fillId="7" borderId="2" xfId="1" applyFont="1" applyFill="1" applyBorder="1" applyAlignment="1">
      <alignment horizontal="center" wrapText="1"/>
    </xf>
    <xf numFmtId="0" fontId="13" fillId="7" borderId="14" xfId="1" applyFont="1" applyFill="1" applyBorder="1" applyAlignment="1">
      <alignment horizontal="center" wrapText="1"/>
    </xf>
    <xf numFmtId="0" fontId="8" fillId="17" borderId="3" xfId="1" applyFont="1" applyFill="1" applyBorder="1" applyAlignment="1">
      <alignment horizontal="center" vertical="center" wrapText="1"/>
    </xf>
    <xf numFmtId="0" fontId="9" fillId="17" borderId="3" xfId="1" applyFont="1" applyFill="1" applyBorder="1" applyAlignment="1">
      <alignment horizontal="center" vertical="center" wrapText="1"/>
    </xf>
    <xf numFmtId="0" fontId="13" fillId="17" borderId="3" xfId="1" applyFont="1" applyFill="1" applyBorder="1" applyAlignment="1">
      <alignment horizontal="center" vertical="center" wrapText="1"/>
    </xf>
    <xf numFmtId="0" fontId="54" fillId="17" borderId="3" xfId="1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54" fillId="18" borderId="14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horizontal="center" vertical="center" wrapText="1"/>
    </xf>
    <xf numFmtId="0" fontId="9" fillId="17" borderId="3" xfId="1" applyFont="1" applyFill="1" applyBorder="1" applyAlignment="1">
      <alignment horizontal="left" wrapText="1"/>
    </xf>
    <xf numFmtId="0" fontId="9" fillId="17" borderId="0" xfId="1" applyFont="1" applyFill="1" applyAlignment="1">
      <alignment horizontal="left" wrapText="1"/>
    </xf>
    <xf numFmtId="0" fontId="9" fillId="17" borderId="14" xfId="1" applyFont="1" applyFill="1" applyBorder="1" applyAlignment="1">
      <alignment horizontal="left" wrapText="1"/>
    </xf>
    <xf numFmtId="0" fontId="8" fillId="9" borderId="0" xfId="0" applyFont="1" applyFill="1" applyAlignment="1">
      <alignment horizontal="center" vertical="top" wrapText="1"/>
    </xf>
    <xf numFmtId="0" fontId="9" fillId="7" borderId="14" xfId="1" applyFont="1" applyFill="1" applyBorder="1" applyAlignment="1">
      <alignment horizontal="left" wrapText="1"/>
    </xf>
    <xf numFmtId="0" fontId="9" fillId="17" borderId="6" xfId="1" applyFont="1" applyFill="1" applyBorder="1" applyAlignment="1">
      <alignment horizontal="left" wrapText="1"/>
    </xf>
    <xf numFmtId="0" fontId="9" fillId="17" borderId="3" xfId="1" applyFont="1" applyFill="1" applyBorder="1" applyAlignment="1">
      <alignment horizontal="center" wrapText="1"/>
    </xf>
    <xf numFmtId="0" fontId="9" fillId="7" borderId="3" xfId="1" applyFont="1" applyFill="1" applyBorder="1" applyAlignment="1">
      <alignment horizontal="center" vertical="top" wrapText="1"/>
    </xf>
    <xf numFmtId="0" fontId="8" fillId="7" borderId="3" xfId="1" applyFont="1" applyFill="1" applyBorder="1" applyAlignment="1">
      <alignment horizontal="left" wrapText="1"/>
    </xf>
    <xf numFmtId="0" fontId="13" fillId="9" borderId="14" xfId="0" applyFont="1" applyFill="1" applyBorder="1" applyAlignment="1">
      <alignment horizontal="center" vertical="top" wrapText="1"/>
    </xf>
    <xf numFmtId="0" fontId="9" fillId="7" borderId="0" xfId="1" applyFont="1" applyFill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top" wrapText="1"/>
    </xf>
    <xf numFmtId="0" fontId="9" fillId="7" borderId="6" xfId="1" applyFont="1" applyFill="1" applyBorder="1" applyAlignment="1">
      <alignment horizontal="left" wrapText="1"/>
    </xf>
    <xf numFmtId="0" fontId="0" fillId="17" borderId="3" xfId="0" applyFill="1" applyBorder="1" applyAlignment="1">
      <alignment horizontal="left" vertical="top"/>
    </xf>
    <xf numFmtId="0" fontId="13" fillId="17" borderId="3" xfId="1" applyFont="1" applyFill="1" applyBorder="1" applyAlignment="1">
      <alignment horizontal="left" wrapText="1"/>
    </xf>
    <xf numFmtId="0" fontId="54" fillId="17" borderId="0" xfId="1" applyFont="1" applyFill="1" applyAlignment="1">
      <alignment horizontal="left" wrapText="1"/>
    </xf>
    <xf numFmtId="0" fontId="8" fillId="18" borderId="16" xfId="0" applyFont="1" applyFill="1" applyBorder="1" applyAlignment="1">
      <alignment horizontal="center" vertical="center" wrapText="1"/>
    </xf>
    <xf numFmtId="0" fontId="8" fillId="17" borderId="0" xfId="1" applyFont="1" applyFill="1" applyAlignment="1">
      <alignment horizontal="left" wrapText="1"/>
    </xf>
    <xf numFmtId="0" fontId="10" fillId="17" borderId="3" xfId="0" applyFont="1" applyFill="1" applyBorder="1" applyAlignment="1">
      <alignment horizontal="center" vertical="center" wrapText="1"/>
    </xf>
    <xf numFmtId="0" fontId="23" fillId="17" borderId="3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59" fillId="17" borderId="3" xfId="0" applyFont="1" applyFill="1" applyBorder="1" applyAlignment="1">
      <alignment horizontal="center" vertical="center" wrapText="1"/>
    </xf>
    <xf numFmtId="0" fontId="24" fillId="17" borderId="3" xfId="1" applyFont="1" applyFill="1" applyBorder="1" applyAlignment="1">
      <alignment horizontal="center" vertical="center" wrapText="1"/>
    </xf>
    <xf numFmtId="0" fontId="10" fillId="17" borderId="3" xfId="1" applyFont="1" applyFill="1" applyBorder="1" applyAlignment="1">
      <alignment horizontal="center" vertical="center" wrapText="1"/>
    </xf>
    <xf numFmtId="0" fontId="23" fillId="17" borderId="3" xfId="1" applyFont="1" applyFill="1" applyBorder="1" applyAlignment="1">
      <alignment horizontal="center" vertical="center" wrapText="1"/>
    </xf>
    <xf numFmtId="0" fontId="59" fillId="17" borderId="3" xfId="1" applyFont="1" applyFill="1" applyBorder="1" applyAlignment="1">
      <alignment horizontal="center" vertical="center" wrapText="1"/>
    </xf>
    <xf numFmtId="0" fontId="62" fillId="17" borderId="3" xfId="1" applyFont="1" applyFill="1" applyBorder="1" applyAlignment="1">
      <alignment horizontal="center" vertical="center" wrapText="1"/>
    </xf>
    <xf numFmtId="0" fontId="61" fillId="17" borderId="3" xfId="1" applyFont="1" applyFill="1" applyBorder="1" applyAlignment="1">
      <alignment horizontal="center" vertical="center" wrapText="1"/>
    </xf>
    <xf numFmtId="0" fontId="60" fillId="17" borderId="3" xfId="0" applyFont="1" applyFill="1" applyBorder="1" applyAlignment="1">
      <alignment horizontal="center" vertical="center" wrapText="1"/>
    </xf>
    <xf numFmtId="0" fontId="56" fillId="15" borderId="3" xfId="0" applyFont="1" applyFill="1" applyBorder="1" applyAlignment="1">
      <alignment horizontal="left" vertical="top" wrapText="1"/>
    </xf>
    <xf numFmtId="0" fontId="8" fillId="15" borderId="14" xfId="1" applyFont="1" applyFill="1" applyBorder="1" applyAlignment="1">
      <alignment horizontal="left" vertical="center" wrapText="1"/>
    </xf>
    <xf numFmtId="0" fontId="8" fillId="15" borderId="3" xfId="1" applyFont="1" applyFill="1" applyBorder="1" applyAlignment="1">
      <alignment horizontal="left" vertical="top" wrapText="1"/>
    </xf>
    <xf numFmtId="0" fontId="65" fillId="17" borderId="3" xfId="1" applyFont="1" applyFill="1" applyBorder="1" applyAlignment="1">
      <alignment horizontal="center" vertical="center" wrapText="1"/>
    </xf>
    <xf numFmtId="0" fontId="9" fillId="15" borderId="14" xfId="1" applyFont="1" applyFill="1" applyBorder="1" applyAlignment="1">
      <alignment horizontal="left" vertical="center" wrapText="1"/>
    </xf>
    <xf numFmtId="0" fontId="10" fillId="15" borderId="3" xfId="1" applyFont="1" applyFill="1" applyBorder="1" applyAlignment="1">
      <alignment horizontal="left" vertical="top" wrapText="1"/>
    </xf>
    <xf numFmtId="0" fontId="66" fillId="7" borderId="3" xfId="1" applyFont="1" applyFill="1" applyBorder="1" applyAlignment="1">
      <alignment horizontal="center" vertical="center" wrapText="1"/>
    </xf>
    <xf numFmtId="0" fontId="53" fillId="17" borderId="3" xfId="0" applyFont="1" applyFill="1" applyBorder="1" applyAlignment="1">
      <alignment horizontal="center" vertical="center" wrapText="1"/>
    </xf>
    <xf numFmtId="0" fontId="67" fillId="17" borderId="3" xfId="0" applyFont="1" applyFill="1" applyBorder="1" applyAlignment="1">
      <alignment horizontal="center" vertical="center" wrapText="1"/>
    </xf>
    <xf numFmtId="0" fontId="67" fillId="17" borderId="3" xfId="1" applyFont="1" applyFill="1" applyBorder="1" applyAlignment="1">
      <alignment horizontal="center" vertical="center" wrapText="1"/>
    </xf>
    <xf numFmtId="0" fontId="68" fillId="17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top" wrapText="1"/>
    </xf>
    <xf numFmtId="0" fontId="23" fillId="15" borderId="3" xfId="1" applyFont="1" applyFill="1" applyBorder="1" applyAlignment="1">
      <alignment horizontal="center" vertical="center" wrapText="1"/>
    </xf>
    <xf numFmtId="0" fontId="53" fillId="15" borderId="3" xfId="1" applyFont="1" applyFill="1" applyBorder="1" applyAlignment="1">
      <alignment horizontal="center" vertical="center" wrapText="1"/>
    </xf>
    <xf numFmtId="0" fontId="59" fillId="15" borderId="3" xfId="1" applyFont="1" applyFill="1" applyBorder="1" applyAlignment="1">
      <alignment horizontal="center" vertical="center" wrapText="1"/>
    </xf>
    <xf numFmtId="0" fontId="59" fillId="15" borderId="3" xfId="0" applyFont="1" applyFill="1" applyBorder="1" applyAlignment="1">
      <alignment horizontal="center" vertical="center" wrapText="1"/>
    </xf>
    <xf numFmtId="0" fontId="60" fillId="15" borderId="3" xfId="0" applyFont="1" applyFill="1" applyBorder="1" applyAlignment="1">
      <alignment horizontal="center" vertical="center" wrapText="1"/>
    </xf>
    <xf numFmtId="0" fontId="56" fillId="15" borderId="3" xfId="0" applyFont="1" applyFill="1" applyBorder="1" applyAlignment="1">
      <alignment horizontal="center" vertical="center" wrapText="1"/>
    </xf>
    <xf numFmtId="0" fontId="70" fillId="15" borderId="3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70" fillId="15" borderId="3" xfId="1" applyFont="1" applyFill="1" applyBorder="1" applyAlignment="1">
      <alignment horizontal="center" vertical="center" wrapText="1"/>
    </xf>
    <xf numFmtId="0" fontId="70" fillId="7" borderId="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horizontal="center" vertical="center" wrapText="1"/>
    </xf>
    <xf numFmtId="0" fontId="66" fillId="15" borderId="0" xfId="0" applyFont="1" applyFill="1" applyAlignment="1">
      <alignment horizontal="left" vertical="top"/>
    </xf>
    <xf numFmtId="0" fontId="66" fillId="17" borderId="3" xfId="0" applyFont="1" applyFill="1" applyBorder="1" applyAlignment="1">
      <alignment horizontal="center" vertical="center" wrapText="1"/>
    </xf>
    <xf numFmtId="164" fontId="69" fillId="8" borderId="3" xfId="1" applyNumberFormat="1" applyFont="1" applyFill="1" applyBorder="1" applyAlignment="1">
      <alignment horizontal="center" vertical="center" shrinkToFit="1"/>
    </xf>
    <xf numFmtId="0" fontId="9" fillId="15" borderId="3" xfId="1" applyFont="1" applyFill="1" applyBorder="1" applyAlignment="1">
      <alignment horizontal="left" wrapText="1"/>
    </xf>
    <xf numFmtId="0" fontId="13" fillId="15" borderId="3" xfId="1" applyFont="1" applyFill="1" applyBorder="1" applyAlignment="1">
      <alignment horizontal="center" vertical="center" wrapText="1"/>
    </xf>
    <xf numFmtId="0" fontId="63" fillId="15" borderId="3" xfId="1" applyFont="1" applyFill="1" applyBorder="1" applyAlignment="1">
      <alignment horizontal="center" vertical="center" wrapText="1"/>
    </xf>
    <xf numFmtId="0" fontId="8" fillId="15" borderId="3" xfId="1" applyFont="1" applyFill="1" applyBorder="1" applyAlignment="1">
      <alignment horizontal="center" vertical="top" wrapText="1"/>
    </xf>
    <xf numFmtId="0" fontId="8" fillId="15" borderId="4" xfId="1" applyFont="1" applyFill="1" applyBorder="1" applyAlignment="1">
      <alignment horizontal="center" vertical="top" wrapText="1"/>
    </xf>
    <xf numFmtId="0" fontId="13" fillId="15" borderId="2" xfId="1" applyFont="1" applyFill="1" applyBorder="1" applyAlignment="1">
      <alignment horizontal="center" vertical="center" wrapText="1"/>
    </xf>
    <xf numFmtId="0" fontId="65" fillId="15" borderId="3" xfId="1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left" vertical="top"/>
    </xf>
    <xf numFmtId="0" fontId="0" fillId="15" borderId="4" xfId="0" applyFill="1" applyBorder="1" applyAlignment="1">
      <alignment horizontal="left" vertical="top"/>
    </xf>
    <xf numFmtId="0" fontId="8" fillId="15" borderId="4" xfId="1" applyFont="1" applyFill="1" applyBorder="1" applyAlignment="1">
      <alignment horizontal="center" vertical="center" wrapText="1"/>
    </xf>
    <xf numFmtId="0" fontId="13" fillId="15" borderId="4" xfId="1" applyFont="1" applyFill="1" applyBorder="1" applyAlignment="1">
      <alignment horizontal="center" vertical="center" wrapText="1"/>
    </xf>
    <xf numFmtId="0" fontId="8" fillId="19" borderId="16" xfId="0" applyFont="1" applyFill="1" applyBorder="1" applyAlignment="1">
      <alignment horizontal="center" wrapText="1"/>
    </xf>
    <xf numFmtId="0" fontId="13" fillId="19" borderId="14" xfId="0" applyFont="1" applyFill="1" applyBorder="1" applyAlignment="1">
      <alignment horizontal="center" vertical="center" wrapText="1"/>
    </xf>
    <xf numFmtId="0" fontId="8" fillId="19" borderId="14" xfId="0" applyFont="1" applyFill="1" applyBorder="1" applyAlignment="1">
      <alignment horizontal="center" vertical="center" wrapText="1"/>
    </xf>
    <xf numFmtId="0" fontId="54" fillId="19" borderId="14" xfId="0" applyFont="1" applyFill="1" applyBorder="1" applyAlignment="1">
      <alignment horizontal="center" vertical="center" wrapText="1"/>
    </xf>
    <xf numFmtId="0" fontId="58" fillId="19" borderId="14" xfId="0" applyFont="1" applyFill="1" applyBorder="1" applyAlignment="1">
      <alignment horizontal="center" vertical="center" wrapText="1"/>
    </xf>
    <xf numFmtId="0" fontId="58" fillId="15" borderId="14" xfId="0" applyFont="1" applyFill="1" applyBorder="1" applyAlignment="1">
      <alignment horizontal="center" vertical="center" wrapText="1"/>
    </xf>
    <xf numFmtId="0" fontId="8" fillId="19" borderId="14" xfId="0" applyFont="1" applyFill="1" applyBorder="1" applyAlignment="1">
      <alignment horizontal="center" vertical="top" wrapText="1"/>
    </xf>
    <xf numFmtId="0" fontId="8" fillId="19" borderId="16" xfId="0" applyFont="1" applyFill="1" applyBorder="1" applyAlignment="1">
      <alignment horizontal="center" vertical="center" wrapText="1"/>
    </xf>
    <xf numFmtId="0" fontId="13" fillId="19" borderId="22" xfId="0" applyFont="1" applyFill="1" applyBorder="1" applyAlignment="1">
      <alignment horizontal="center" vertical="center" wrapText="1"/>
    </xf>
    <xf numFmtId="0" fontId="8" fillId="19" borderId="14" xfId="0" applyFont="1" applyFill="1" applyBorder="1" applyAlignment="1">
      <alignment horizontal="left" vertical="center" wrapText="1"/>
    </xf>
    <xf numFmtId="0" fontId="13" fillId="15" borderId="2" xfId="1" applyFont="1" applyFill="1" applyBorder="1" applyAlignment="1">
      <alignment horizontal="center" wrapText="1"/>
    </xf>
    <xf numFmtId="0" fontId="54" fillId="15" borderId="3" xfId="1" applyFont="1" applyFill="1" applyBorder="1" applyAlignment="1">
      <alignment horizontal="left" wrapText="1"/>
    </xf>
    <xf numFmtId="0" fontId="65" fillId="15" borderId="3" xfId="1" applyFont="1" applyFill="1" applyBorder="1" applyAlignment="1">
      <alignment horizontal="left" wrapText="1"/>
    </xf>
    <xf numFmtId="0" fontId="9" fillId="15" borderId="3" xfId="1" applyFont="1" applyFill="1" applyBorder="1" applyAlignment="1">
      <alignment horizontal="center" wrapText="1"/>
    </xf>
    <xf numFmtId="0" fontId="13" fillId="15" borderId="3" xfId="1" applyFont="1" applyFill="1" applyBorder="1" applyAlignment="1">
      <alignment horizontal="left" wrapText="1"/>
    </xf>
    <xf numFmtId="0" fontId="64" fillId="15" borderId="3" xfId="1" applyFont="1" applyFill="1" applyBorder="1" applyAlignment="1">
      <alignment horizontal="center" vertical="center" wrapText="1"/>
    </xf>
    <xf numFmtId="0" fontId="9" fillId="15" borderId="3" xfId="1" applyFont="1" applyFill="1" applyBorder="1" applyAlignment="1">
      <alignment horizontal="center" vertical="top" wrapText="1"/>
    </xf>
    <xf numFmtId="0" fontId="8" fillId="15" borderId="3" xfId="1" applyFont="1" applyFill="1" applyBorder="1" applyAlignment="1">
      <alignment horizontal="left" wrapText="1"/>
    </xf>
    <xf numFmtId="0" fontId="58" fillId="15" borderId="3" xfId="1" applyFont="1" applyFill="1" applyBorder="1" applyAlignment="1">
      <alignment horizontal="left" wrapText="1"/>
    </xf>
    <xf numFmtId="0" fontId="54" fillId="15" borderId="3" xfId="1" applyFont="1" applyFill="1" applyBorder="1" applyAlignment="1">
      <alignment horizontal="center" vertical="center" wrapText="1"/>
    </xf>
    <xf numFmtId="0" fontId="9" fillId="15" borderId="4" xfId="1" applyFont="1" applyFill="1" applyBorder="1" applyAlignment="1">
      <alignment horizontal="left" wrapText="1"/>
    </xf>
    <xf numFmtId="0" fontId="71" fillId="15" borderId="3" xfId="1" applyFont="1" applyFill="1" applyBorder="1" applyAlignment="1">
      <alignment horizontal="center" vertical="center" wrapText="1"/>
    </xf>
    <xf numFmtId="0" fontId="72" fillId="15" borderId="3" xfId="1" applyFont="1" applyFill="1" applyBorder="1" applyAlignment="1">
      <alignment horizontal="center" vertical="center" wrapText="1"/>
    </xf>
    <xf numFmtId="0" fontId="71" fillId="15" borderId="3" xfId="1" applyFont="1" applyFill="1" applyBorder="1" applyAlignment="1">
      <alignment horizontal="center" vertical="top" wrapText="1"/>
    </xf>
    <xf numFmtId="0" fontId="71" fillId="15" borderId="2" xfId="1" applyFont="1" applyFill="1" applyBorder="1" applyAlignment="1">
      <alignment horizontal="center" vertical="center" wrapText="1"/>
    </xf>
    <xf numFmtId="0" fontId="72" fillId="7" borderId="3" xfId="1" applyFont="1" applyFill="1" applyBorder="1" applyAlignment="1">
      <alignment horizontal="center" vertical="center" wrapText="1"/>
    </xf>
    <xf numFmtId="0" fontId="58" fillId="7" borderId="3" xfId="1" applyFont="1" applyFill="1" applyBorder="1" applyAlignment="1">
      <alignment horizontal="center" vertical="center" wrapText="1"/>
    </xf>
    <xf numFmtId="0" fontId="63" fillId="11" borderId="3" xfId="1" applyFont="1" applyFill="1" applyBorder="1" applyAlignment="1">
      <alignment horizontal="center" vertical="center" wrapText="1"/>
    </xf>
    <xf numFmtId="0" fontId="72" fillId="17" borderId="3" xfId="1" applyFont="1" applyFill="1" applyBorder="1" applyAlignment="1">
      <alignment horizontal="center" vertical="center" wrapText="1"/>
    </xf>
    <xf numFmtId="0" fontId="73" fillId="11" borderId="3" xfId="1" applyFont="1" applyFill="1" applyBorder="1" applyAlignment="1">
      <alignment horizontal="center" vertical="center" wrapText="1"/>
    </xf>
    <xf numFmtId="0" fontId="64" fillId="17" borderId="3" xfId="1" applyFont="1" applyFill="1" applyBorder="1" applyAlignment="1">
      <alignment horizontal="center" vertical="center" wrapText="1"/>
    </xf>
    <xf numFmtId="0" fontId="58" fillId="17" borderId="3" xfId="1" applyFont="1" applyFill="1" applyBorder="1" applyAlignment="1">
      <alignment horizontal="center" vertical="center" wrapText="1"/>
    </xf>
    <xf numFmtId="0" fontId="75" fillId="17" borderId="3" xfId="0" applyFont="1" applyFill="1" applyBorder="1" applyAlignment="1">
      <alignment horizontal="left" vertical="top"/>
    </xf>
    <xf numFmtId="0" fontId="58" fillId="7" borderId="4" xfId="1" applyFont="1" applyFill="1" applyBorder="1" applyAlignment="1">
      <alignment horizontal="center" vertical="center" wrapText="1"/>
    </xf>
    <xf numFmtId="0" fontId="58" fillId="7" borderId="2" xfId="1" applyFont="1" applyFill="1" applyBorder="1" applyAlignment="1">
      <alignment horizontal="center" vertical="center" wrapText="1"/>
    </xf>
    <xf numFmtId="0" fontId="47" fillId="15" borderId="4" xfId="0" applyFont="1" applyFill="1" applyBorder="1" applyAlignment="1">
      <alignment horizontal="left" vertical="top"/>
    </xf>
    <xf numFmtId="0" fontId="57" fillId="7" borderId="4" xfId="1" applyFont="1" applyFill="1" applyBorder="1" applyAlignment="1">
      <alignment horizontal="center" vertical="center" wrapText="1"/>
    </xf>
    <xf numFmtId="0" fontId="65" fillId="7" borderId="3" xfId="1" applyFont="1" applyFill="1" applyBorder="1" applyAlignment="1">
      <alignment horizontal="center" vertical="center" wrapText="1"/>
    </xf>
    <xf numFmtId="0" fontId="65" fillId="11" borderId="3" xfId="1" applyFont="1" applyFill="1" applyBorder="1" applyAlignment="1">
      <alignment horizontal="center" vertical="center" wrapText="1"/>
    </xf>
    <xf numFmtId="0" fontId="54" fillId="15" borderId="14" xfId="1" applyFont="1" applyFill="1" applyBorder="1" applyAlignment="1">
      <alignment horizontal="left" vertical="center" wrapText="1"/>
    </xf>
    <xf numFmtId="0" fontId="8" fillId="15" borderId="2" xfId="1" applyFont="1" applyFill="1" applyBorder="1" applyAlignment="1">
      <alignment horizontal="center" vertical="center" wrapText="1"/>
    </xf>
    <xf numFmtId="0" fontId="9" fillId="15" borderId="4" xfId="1" applyFont="1" applyFill="1" applyBorder="1" applyAlignment="1">
      <alignment horizontal="center" vertical="center" wrapText="1"/>
    </xf>
    <xf numFmtId="0" fontId="58" fillId="15" borderId="3" xfId="1" applyFont="1" applyFill="1" applyBorder="1" applyAlignment="1">
      <alignment horizontal="center" vertical="center" wrapText="1"/>
    </xf>
    <xf numFmtId="0" fontId="9" fillId="15" borderId="2" xfId="1" applyFont="1" applyFill="1" applyBorder="1" applyAlignment="1">
      <alignment horizontal="center" vertical="center" wrapText="1"/>
    </xf>
    <xf numFmtId="0" fontId="57" fillId="15" borderId="3" xfId="1" applyFont="1" applyFill="1" applyBorder="1" applyAlignment="1">
      <alignment horizontal="center" vertical="center" wrapText="1"/>
    </xf>
    <xf numFmtId="0" fontId="57" fillId="15" borderId="4" xfId="1" applyFont="1" applyFill="1" applyBorder="1" applyAlignment="1">
      <alignment horizontal="center" vertical="center" wrapText="1"/>
    </xf>
    <xf numFmtId="0" fontId="58" fillId="12" borderId="2" xfId="1" applyFont="1" applyFill="1" applyBorder="1" applyAlignment="1">
      <alignment horizontal="center" wrapText="1"/>
    </xf>
    <xf numFmtId="0" fontId="58" fillId="16" borderId="2" xfId="1" applyFont="1" applyFill="1" applyBorder="1" applyAlignment="1">
      <alignment horizontal="center" vertical="center" wrapText="1"/>
    </xf>
    <xf numFmtId="0" fontId="57" fillId="9" borderId="16" xfId="0" applyFont="1" applyFill="1" applyBorder="1" applyAlignment="1">
      <alignment horizontal="center" wrapText="1"/>
    </xf>
    <xf numFmtId="0" fontId="74" fillId="17" borderId="3" xfId="1" applyFont="1" applyFill="1" applyBorder="1" applyAlignment="1">
      <alignment horizontal="center" vertical="center" wrapText="1"/>
    </xf>
    <xf numFmtId="0" fontId="65" fillId="16" borderId="2" xfId="1" applyFont="1" applyFill="1" applyBorder="1" applyAlignment="1">
      <alignment horizontal="center" vertical="center" wrapText="1"/>
    </xf>
    <xf numFmtId="0" fontId="76" fillId="11" borderId="4" xfId="1" applyFont="1" applyFill="1" applyBorder="1" applyAlignment="1">
      <alignment horizontal="center" vertical="center" wrapText="1"/>
    </xf>
    <xf numFmtId="0" fontId="58" fillId="7" borderId="3" xfId="1" applyFont="1" applyFill="1" applyBorder="1" applyAlignment="1">
      <alignment horizontal="left" wrapText="1"/>
    </xf>
    <xf numFmtId="0" fontId="65" fillId="18" borderId="16" xfId="0" applyFont="1" applyFill="1" applyBorder="1" applyAlignment="1">
      <alignment horizontal="center" vertical="center" wrapText="1"/>
    </xf>
    <xf numFmtId="0" fontId="72" fillId="11" borderId="4" xfId="1" applyFont="1" applyFill="1" applyBorder="1" applyAlignment="1">
      <alignment horizontal="center" vertical="center" wrapText="1"/>
    </xf>
    <xf numFmtId="0" fontId="72" fillId="18" borderId="14" xfId="0" applyFont="1" applyFill="1" applyBorder="1" applyAlignment="1">
      <alignment horizontal="center" vertical="center" wrapText="1"/>
    </xf>
    <xf numFmtId="0" fontId="58" fillId="9" borderId="14" xfId="0" applyFont="1" applyFill="1" applyBorder="1" applyAlignment="1">
      <alignment horizontal="center" vertical="center" wrapText="1"/>
    </xf>
    <xf numFmtId="0" fontId="57" fillId="9" borderId="14" xfId="0" applyFont="1" applyFill="1" applyBorder="1" applyAlignment="1">
      <alignment horizontal="center" vertical="center" wrapText="1"/>
    </xf>
    <xf numFmtId="0" fontId="65" fillId="18" borderId="14" xfId="0" applyFont="1" applyFill="1" applyBorder="1" applyAlignment="1">
      <alignment horizontal="center" vertical="center" wrapText="1"/>
    </xf>
    <xf numFmtId="0" fontId="58" fillId="0" borderId="6" xfId="1" applyFont="1" applyBorder="1" applyAlignment="1">
      <alignment horizontal="left" wrapText="1"/>
    </xf>
    <xf numFmtId="0" fontId="58" fillId="17" borderId="3" xfId="1" applyFont="1" applyFill="1" applyBorder="1" applyAlignment="1">
      <alignment horizontal="left" wrapText="1"/>
    </xf>
    <xf numFmtId="0" fontId="58" fillId="18" borderId="14" xfId="0" applyFont="1" applyFill="1" applyBorder="1" applyAlignment="1">
      <alignment horizontal="center" vertical="center" wrapText="1"/>
    </xf>
    <xf numFmtId="0" fontId="57" fillId="9" borderId="14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left" vertical="top" wrapText="1"/>
    </xf>
    <xf numFmtId="0" fontId="58" fillId="11" borderId="4" xfId="1" applyFont="1" applyFill="1" applyBorder="1" applyAlignment="1">
      <alignment horizontal="left" wrapText="1"/>
    </xf>
    <xf numFmtId="0" fontId="58" fillId="11" borderId="8" xfId="1" applyFont="1" applyFill="1" applyBorder="1" applyAlignment="1">
      <alignment horizontal="left" wrapText="1"/>
    </xf>
    <xf numFmtId="0" fontId="77" fillId="7" borderId="3" xfId="1" applyFont="1" applyFill="1" applyBorder="1" applyAlignment="1">
      <alignment horizontal="center" vertical="center" wrapText="1"/>
    </xf>
    <xf numFmtId="0" fontId="58" fillId="0" borderId="14" xfId="1" applyFont="1" applyBorder="1" applyAlignment="1">
      <alignment horizontal="left" wrapText="1"/>
    </xf>
    <xf numFmtId="0" fontId="58" fillId="17" borderId="6" xfId="1" applyFont="1" applyFill="1" applyBorder="1" applyAlignment="1">
      <alignment horizontal="left" wrapText="1"/>
    </xf>
    <xf numFmtId="0" fontId="58" fillId="7" borderId="14" xfId="1" applyFont="1" applyFill="1" applyBorder="1" applyAlignment="1">
      <alignment horizontal="left" wrapText="1"/>
    </xf>
    <xf numFmtId="0" fontId="73" fillId="11" borderId="6" xfId="1" applyFont="1" applyFill="1" applyBorder="1" applyAlignment="1">
      <alignment horizontal="left" wrapText="1"/>
    </xf>
    <xf numFmtId="0" fontId="73" fillId="7" borderId="3" xfId="1" applyFont="1" applyFill="1" applyBorder="1" applyAlignment="1">
      <alignment horizontal="left" wrapText="1"/>
    </xf>
    <xf numFmtId="0" fontId="73" fillId="0" borderId="14" xfId="1" applyFont="1" applyBorder="1" applyAlignment="1">
      <alignment horizontal="left" wrapText="1"/>
    </xf>
    <xf numFmtId="0" fontId="78" fillId="15" borderId="3" xfId="1" applyFont="1" applyFill="1" applyBorder="1" applyAlignment="1">
      <alignment horizontal="center" vertical="center" wrapText="1"/>
    </xf>
    <xf numFmtId="0" fontId="78" fillId="7" borderId="3" xfId="1" applyFont="1" applyFill="1" applyBorder="1" applyAlignment="1">
      <alignment horizontal="center" vertical="center" wrapText="1"/>
    </xf>
    <xf numFmtId="0" fontId="78" fillId="17" borderId="3" xfId="1" applyFont="1" applyFill="1" applyBorder="1" applyAlignment="1">
      <alignment horizontal="center" vertical="center" wrapText="1"/>
    </xf>
    <xf numFmtId="0" fontId="58" fillId="7" borderId="3" xfId="1" applyFont="1" applyFill="1" applyBorder="1" applyAlignment="1">
      <alignment horizontal="center" vertical="top" wrapText="1"/>
    </xf>
    <xf numFmtId="0" fontId="65" fillId="17" borderId="14" xfId="1" applyFont="1" applyFill="1" applyBorder="1" applyAlignment="1">
      <alignment horizontal="left" wrapText="1"/>
    </xf>
    <xf numFmtId="0" fontId="65" fillId="0" borderId="6" xfId="1" applyFont="1" applyBorder="1" applyAlignment="1">
      <alignment horizontal="left" wrapText="1"/>
    </xf>
    <xf numFmtId="0" fontId="65" fillId="11" borderId="8" xfId="1" applyFont="1" applyFill="1" applyBorder="1" applyAlignment="1">
      <alignment horizontal="left" wrapText="1"/>
    </xf>
    <xf numFmtId="0" fontId="63" fillId="11" borderId="4" xfId="1" applyFont="1" applyFill="1" applyBorder="1" applyAlignment="1">
      <alignment horizontal="center" vertical="center" wrapText="1"/>
    </xf>
    <xf numFmtId="0" fontId="63" fillId="0" borderId="8" xfId="1" applyFont="1" applyBorder="1" applyAlignment="1">
      <alignment horizontal="left" wrapText="1"/>
    </xf>
    <xf numFmtId="0" fontId="15" fillId="8" borderId="14" xfId="1" applyFont="1" applyFill="1" applyBorder="1" applyAlignment="1">
      <alignment horizontal="center" vertical="top" wrapText="1"/>
    </xf>
    <xf numFmtId="0" fontId="75" fillId="0" borderId="3" xfId="0" applyFont="1" applyBorder="1" applyAlignment="1">
      <alignment horizontal="left" vertical="top"/>
    </xf>
    <xf numFmtId="0" fontId="47" fillId="17" borderId="3" xfId="0" applyFont="1" applyFill="1" applyBorder="1" applyAlignment="1">
      <alignment horizontal="left" vertical="top"/>
    </xf>
    <xf numFmtId="0" fontId="53" fillId="15" borderId="3" xfId="1" applyFont="1" applyFill="1" applyBorder="1" applyAlignment="1">
      <alignment horizontal="left" vertical="top" wrapText="1"/>
    </xf>
    <xf numFmtId="0" fontId="70" fillId="7" borderId="3" xfId="1" applyFont="1" applyFill="1" applyBorder="1" applyAlignment="1">
      <alignment horizontal="center" vertical="center" wrapText="1"/>
    </xf>
    <xf numFmtId="0" fontId="79" fillId="15" borderId="3" xfId="1" applyFont="1" applyFill="1" applyBorder="1" applyAlignment="1">
      <alignment horizontal="center" vertical="center" wrapText="1"/>
    </xf>
    <xf numFmtId="0" fontId="66" fillId="15" borderId="3" xfId="1" applyFont="1" applyFill="1" applyBorder="1" applyAlignment="1">
      <alignment horizontal="center" vertical="center" wrapText="1"/>
    </xf>
    <xf numFmtId="0" fontId="67" fillId="15" borderId="3" xfId="1" applyFont="1" applyFill="1" applyBorder="1" applyAlignment="1">
      <alignment horizontal="center" vertical="center" wrapText="1"/>
    </xf>
    <xf numFmtId="0" fontId="62" fillId="15" borderId="3" xfId="1" applyFont="1" applyFill="1" applyBorder="1" applyAlignment="1">
      <alignment horizontal="center" vertical="center" wrapText="1"/>
    </xf>
    <xf numFmtId="0" fontId="66" fillId="15" borderId="3" xfId="0" applyFont="1" applyFill="1" applyBorder="1" applyAlignment="1">
      <alignment horizontal="center" vertical="center" wrapText="1"/>
    </xf>
    <xf numFmtId="0" fontId="70" fillId="17" borderId="3" xfId="0" applyFont="1" applyFill="1" applyBorder="1" applyAlignment="1">
      <alignment horizontal="center" vertical="center" wrapText="1"/>
    </xf>
    <xf numFmtId="0" fontId="80" fillId="17" borderId="3" xfId="0" applyFont="1" applyFill="1" applyBorder="1" applyAlignment="1">
      <alignment horizontal="center" vertical="center" wrapText="1"/>
    </xf>
    <xf numFmtId="0" fontId="80" fillId="0" borderId="3" xfId="1" applyFont="1" applyBorder="1" applyAlignment="1">
      <alignment horizontal="center" vertical="center" wrapText="1"/>
    </xf>
    <xf numFmtId="0" fontId="80" fillId="17" borderId="3" xfId="1" applyFont="1" applyFill="1" applyBorder="1" applyAlignment="1">
      <alignment horizontal="center" vertical="center" wrapText="1"/>
    </xf>
    <xf numFmtId="0" fontId="60" fillId="0" borderId="3" xfId="1" applyFont="1" applyBorder="1" applyAlignment="1">
      <alignment horizontal="center" vertical="center" wrapText="1"/>
    </xf>
    <xf numFmtId="0" fontId="81" fillId="15" borderId="4" xfId="0" applyFont="1" applyFill="1" applyBorder="1" applyAlignment="1">
      <alignment horizontal="left" vertical="top"/>
    </xf>
    <xf numFmtId="164" fontId="17" fillId="8" borderId="16" xfId="1" applyNumberFormat="1" applyFont="1" applyFill="1" applyBorder="1" applyAlignment="1">
      <alignment horizontal="center" vertical="top" shrinkToFit="1"/>
    </xf>
    <xf numFmtId="164" fontId="17" fillId="8" borderId="14" xfId="1" applyNumberFormat="1" applyFont="1" applyFill="1" applyBorder="1" applyAlignment="1">
      <alignment horizontal="center" vertical="top" shrinkToFit="1"/>
    </xf>
    <xf numFmtId="0" fontId="8" fillId="9" borderId="0" xfId="0" applyFont="1" applyFill="1" applyAlignment="1">
      <alignment horizontal="center" wrapText="1"/>
    </xf>
    <xf numFmtId="0" fontId="13" fillId="7" borderId="0" xfId="1" applyFont="1" applyFill="1" applyAlignment="1">
      <alignment horizontal="center" vertical="center" wrapText="1"/>
    </xf>
    <xf numFmtId="0" fontId="8" fillId="11" borderId="6" xfId="1" applyFont="1" applyFill="1" applyBorder="1" applyAlignment="1">
      <alignment horizontal="left" wrapText="1"/>
    </xf>
    <xf numFmtId="0" fontId="9" fillId="11" borderId="8" xfId="1" applyFont="1" applyFill="1" applyBorder="1" applyAlignment="1">
      <alignment horizontal="center" vertical="center" wrapText="1"/>
    </xf>
    <xf numFmtId="0" fontId="13" fillId="17" borderId="6" xfId="1" applyFont="1" applyFill="1" applyBorder="1" applyAlignment="1">
      <alignment horizontal="left" wrapText="1"/>
    </xf>
    <xf numFmtId="0" fontId="13" fillId="0" borderId="8" xfId="1" applyFont="1" applyBorder="1" applyAlignment="1">
      <alignment horizontal="left" wrapText="1"/>
    </xf>
    <xf numFmtId="0" fontId="25" fillId="0" borderId="6" xfId="0" applyFont="1" applyBorder="1" applyAlignment="1">
      <alignment horizontal="center" vertical="top" wrapText="1"/>
    </xf>
    <xf numFmtId="0" fontId="49" fillId="0" borderId="0" xfId="0" applyFont="1" applyAlignment="1">
      <alignment horizontal="center" vertical="top"/>
    </xf>
    <xf numFmtId="0" fontId="8" fillId="7" borderId="14" xfId="1" applyFont="1" applyFill="1" applyBorder="1" applyAlignment="1">
      <alignment horizontal="left" vertical="top" wrapText="1"/>
    </xf>
    <xf numFmtId="0" fontId="82" fillId="0" borderId="14" xfId="1" applyFont="1" applyBorder="1" applyAlignment="1">
      <alignment horizontal="center" vertical="center" wrapText="1"/>
    </xf>
    <xf numFmtId="0" fontId="82" fillId="0" borderId="3" xfId="1" applyFont="1" applyBorder="1" applyAlignment="1">
      <alignment horizontal="left" vertical="top" wrapText="1"/>
    </xf>
    <xf numFmtId="0" fontId="8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7" borderId="0" xfId="0" applyFill="1" applyAlignment="1">
      <alignment horizontal="left" vertical="top"/>
    </xf>
    <xf numFmtId="1" fontId="13" fillId="0" borderId="14" xfId="1" applyNumberFormat="1" applyFont="1" applyBorder="1" applyAlignment="1">
      <alignment horizontal="left" vertical="center" shrinkToFit="1"/>
    </xf>
    <xf numFmtId="0" fontId="33" fillId="7" borderId="3" xfId="0" applyFont="1" applyFill="1" applyBorder="1" applyAlignment="1">
      <alignment horizontal="left" vertical="top" wrapText="1"/>
    </xf>
    <xf numFmtId="0" fontId="32" fillId="7" borderId="3" xfId="0" applyFont="1" applyFill="1" applyBorder="1" applyAlignment="1">
      <alignment horizontal="left" vertical="top" wrapText="1" indent="2"/>
    </xf>
    <xf numFmtId="0" fontId="15" fillId="7" borderId="3" xfId="0" applyFont="1" applyFill="1" applyBorder="1" applyAlignment="1">
      <alignment horizontal="center" vertical="top" wrapText="1"/>
    </xf>
    <xf numFmtId="0" fontId="8" fillId="7" borderId="3" xfId="1" applyFont="1" applyFill="1" applyBorder="1" applyAlignment="1">
      <alignment horizontal="left" vertical="top" wrapText="1"/>
    </xf>
    <xf numFmtId="0" fontId="56" fillId="7" borderId="3" xfId="0" applyFont="1" applyFill="1" applyBorder="1" applyAlignment="1">
      <alignment horizontal="left" vertical="top" wrapText="1"/>
    </xf>
    <xf numFmtId="0" fontId="53" fillId="7" borderId="3" xfId="1" applyFont="1" applyFill="1" applyBorder="1" applyAlignment="1">
      <alignment horizontal="left" vertical="top" wrapText="1"/>
    </xf>
    <xf numFmtId="0" fontId="54" fillId="7" borderId="14" xfId="1" applyFont="1" applyFill="1" applyBorder="1" applyAlignment="1">
      <alignment horizontal="left" vertical="top" wrapText="1"/>
    </xf>
    <xf numFmtId="0" fontId="8" fillId="9" borderId="14" xfId="0" applyFont="1" applyFill="1" applyBorder="1" applyAlignment="1">
      <alignment horizontal="left" vertical="top" wrapText="1"/>
    </xf>
    <xf numFmtId="0" fontId="9" fillId="7" borderId="14" xfId="1" applyFont="1" applyFill="1" applyBorder="1" applyAlignment="1">
      <alignment horizontal="left" vertical="top" wrapText="1"/>
    </xf>
    <xf numFmtId="0" fontId="54" fillId="7" borderId="0" xfId="0" applyFont="1" applyFill="1" applyAlignment="1">
      <alignment horizontal="left" vertical="top" wrapText="1"/>
    </xf>
    <xf numFmtId="0" fontId="8" fillId="7" borderId="14" xfId="0" applyFont="1" applyFill="1" applyBorder="1" applyAlignment="1">
      <alignment horizontal="left" vertical="top" wrapText="1"/>
    </xf>
    <xf numFmtId="0" fontId="49" fillId="7" borderId="0" xfId="0" applyFont="1" applyFill="1" applyAlignment="1">
      <alignment horizontal="center" vertical="top"/>
    </xf>
    <xf numFmtId="0" fontId="37" fillId="0" borderId="3" xfId="0" applyFont="1" applyBorder="1" applyAlignment="1">
      <alignment horizontal="left" vertical="top" wrapText="1" indent="2"/>
    </xf>
    <xf numFmtId="0" fontId="83" fillId="0" borderId="0" xfId="0" applyFont="1" applyAlignment="1">
      <alignment horizontal="center" vertical="top"/>
    </xf>
    <xf numFmtId="0" fontId="84" fillId="0" borderId="0" xfId="0" applyFont="1" applyAlignment="1">
      <alignment horizontal="left" vertical="center"/>
    </xf>
    <xf numFmtId="1" fontId="13" fillId="0" borderId="3" xfId="1" applyNumberFormat="1" applyFont="1" applyBorder="1" applyAlignment="1">
      <alignment horizontal="left" vertical="top" shrinkToFit="1"/>
    </xf>
    <xf numFmtId="0" fontId="22" fillId="0" borderId="14" xfId="1" applyFont="1" applyBorder="1" applyAlignment="1">
      <alignment horizontal="left" vertical="center" wrapText="1"/>
    </xf>
    <xf numFmtId="1" fontId="13" fillId="0" borderId="14" xfId="1" quotePrefix="1" applyNumberFormat="1" applyFont="1" applyBorder="1" applyAlignment="1">
      <alignment horizontal="left" vertical="center" shrinkToFit="1"/>
    </xf>
    <xf numFmtId="0" fontId="59" fillId="0" borderId="3" xfId="0" applyFont="1" applyBorder="1" applyAlignment="1">
      <alignment horizontal="left" wrapText="1"/>
    </xf>
    <xf numFmtId="1" fontId="58" fillId="0" borderId="14" xfId="1" applyNumberFormat="1" applyFont="1" applyBorder="1" applyAlignment="1">
      <alignment horizontal="left" vertical="center" shrinkToFit="1"/>
    </xf>
    <xf numFmtId="0" fontId="85" fillId="0" borderId="14" xfId="1" applyFont="1" applyBorder="1" applyAlignment="1">
      <alignment horizontal="left" vertical="center" wrapText="1"/>
    </xf>
    <xf numFmtId="0" fontId="12" fillId="0" borderId="14" xfId="1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center" wrapText="1"/>
    </xf>
    <xf numFmtId="0" fontId="47" fillId="0" borderId="14" xfId="1" applyFont="1" applyBorder="1" applyAlignment="1">
      <alignment horizontal="left" wrapText="1"/>
    </xf>
    <xf numFmtId="0" fontId="2" fillId="0" borderId="14" xfId="1" applyBorder="1" applyAlignment="1">
      <alignment horizontal="left" wrapText="1"/>
    </xf>
    <xf numFmtId="0" fontId="49" fillId="0" borderId="0" xfId="0" applyFont="1" applyAlignment="1">
      <alignment horizontal="left" vertical="top"/>
    </xf>
    <xf numFmtId="0" fontId="33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wrapText="1"/>
    </xf>
    <xf numFmtId="1" fontId="8" fillId="0" borderId="14" xfId="1" applyNumberFormat="1" applyFont="1" applyBorder="1" applyAlignment="1">
      <alignment horizontal="center" vertical="center" shrinkToFit="1"/>
    </xf>
    <xf numFmtId="1" fontId="8" fillId="0" borderId="3" xfId="1" applyNumberFormat="1" applyFont="1" applyBorder="1" applyAlignment="1">
      <alignment horizontal="center" vertical="top" shrinkToFit="1"/>
    </xf>
    <xf numFmtId="0" fontId="21" fillId="0" borderId="14" xfId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wrapText="1"/>
    </xf>
    <xf numFmtId="1" fontId="24" fillId="0" borderId="2" xfId="1" applyNumberFormat="1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top" wrapText="1"/>
    </xf>
    <xf numFmtId="164" fontId="43" fillId="20" borderId="3" xfId="1" applyNumberFormat="1" applyFont="1" applyFill="1" applyBorder="1" applyAlignment="1">
      <alignment horizontal="center" vertical="center" shrinkToFit="1"/>
    </xf>
    <xf numFmtId="0" fontId="25" fillId="11" borderId="3" xfId="0" applyFont="1" applyFill="1" applyBorder="1" applyAlignment="1">
      <alignment horizontal="center" vertical="center" wrapText="1"/>
    </xf>
    <xf numFmtId="0" fontId="40" fillId="20" borderId="3" xfId="1" applyFont="1" applyFill="1" applyBorder="1" applyAlignment="1">
      <alignment horizontal="center" vertical="center" wrapText="1"/>
    </xf>
    <xf numFmtId="164" fontId="69" fillId="20" borderId="3" xfId="1" applyNumberFormat="1" applyFont="1" applyFill="1" applyBorder="1" applyAlignment="1">
      <alignment horizontal="center" vertical="center" shrinkToFit="1"/>
    </xf>
    <xf numFmtId="0" fontId="15" fillId="20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 indent="6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2" fillId="0" borderId="5" xfId="1" applyBorder="1" applyAlignment="1">
      <alignment horizontal="left" vertical="top" wrapText="1"/>
    </xf>
    <xf numFmtId="0" fontId="2" fillId="0" borderId="2" xfId="1" applyBorder="1" applyAlignment="1">
      <alignment horizontal="left" vertical="top" wrapText="1"/>
    </xf>
    <xf numFmtId="0" fontId="19" fillId="0" borderId="4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" fillId="8" borderId="8" xfId="1" applyFont="1" applyFill="1" applyBorder="1" applyAlignment="1">
      <alignment horizontal="center" vertical="top" wrapText="1"/>
    </xf>
    <xf numFmtId="0" fontId="1" fillId="8" borderId="9" xfId="1" applyFont="1" applyFill="1" applyBorder="1" applyAlignment="1">
      <alignment horizontal="center" vertical="top" wrapText="1"/>
    </xf>
    <xf numFmtId="0" fontId="1" fillId="8" borderId="10" xfId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top" wrapText="1"/>
    </xf>
    <xf numFmtId="0" fontId="25" fillId="0" borderId="8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top" wrapText="1"/>
    </xf>
    <xf numFmtId="0" fontId="32" fillId="0" borderId="5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center" vertical="top" wrapText="1"/>
    </xf>
    <xf numFmtId="0" fontId="32" fillId="0" borderId="7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left" vertical="top" wrapText="1" indent="2"/>
    </xf>
    <xf numFmtId="0" fontId="32" fillId="0" borderId="9" xfId="0" applyFont="1" applyBorder="1" applyAlignment="1">
      <alignment horizontal="left" vertical="top" wrapText="1" indent="2"/>
    </xf>
    <xf numFmtId="0" fontId="32" fillId="0" borderId="10" xfId="0" applyFont="1" applyBorder="1" applyAlignment="1">
      <alignment horizontal="left" vertical="top" wrapText="1" indent="2"/>
    </xf>
    <xf numFmtId="0" fontId="32" fillId="0" borderId="1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 indent="2"/>
    </xf>
    <xf numFmtId="0" fontId="32" fillId="0" borderId="12" xfId="0" applyFont="1" applyBorder="1" applyAlignment="1">
      <alignment horizontal="left" vertical="top" wrapText="1" indent="2"/>
    </xf>
    <xf numFmtId="0" fontId="33" fillId="0" borderId="4" xfId="0" applyFont="1" applyBorder="1" applyAlignment="1">
      <alignment horizontal="left" wrapText="1"/>
    </xf>
    <xf numFmtId="0" fontId="33" fillId="0" borderId="5" xfId="0" applyFont="1" applyBorder="1" applyAlignment="1">
      <alignment horizontal="left" wrapText="1"/>
    </xf>
    <xf numFmtId="0" fontId="33" fillId="0" borderId="2" xfId="0" applyFont="1" applyBorder="1" applyAlignment="1">
      <alignment horizontal="left" wrapText="1"/>
    </xf>
    <xf numFmtId="0" fontId="32" fillId="0" borderId="4" xfId="0" applyFont="1" applyBorder="1" applyAlignment="1">
      <alignment horizontal="left" vertical="top" wrapText="1" indent="1"/>
    </xf>
    <xf numFmtId="0" fontId="32" fillId="0" borderId="5" xfId="0" applyFont="1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center" vertical="top" wrapText="1"/>
    </xf>
    <xf numFmtId="0" fontId="32" fillId="0" borderId="5" xfId="0" applyFont="1" applyBorder="1" applyAlignment="1">
      <alignment horizontal="center" vertical="top" wrapText="1"/>
    </xf>
    <xf numFmtId="0" fontId="49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50" fillId="0" borderId="4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3" fillId="0" borderId="9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1" fillId="0" borderId="0" xfId="0" applyFont="1" applyAlignment="1">
      <alignment horizontal="center" vertical="top"/>
    </xf>
    <xf numFmtId="0" fontId="4" fillId="0" borderId="1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52" fillId="0" borderId="4" xfId="1" applyFont="1" applyBorder="1" applyAlignment="1">
      <alignment horizontal="center" vertical="center" wrapText="1"/>
    </xf>
    <xf numFmtId="0" fontId="52" fillId="0" borderId="5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48" fillId="0" borderId="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1" fillId="8" borderId="23" xfId="1" applyFont="1" applyFill="1" applyBorder="1" applyAlignment="1">
      <alignment horizontal="center" vertical="top" wrapText="1"/>
    </xf>
    <xf numFmtId="0" fontId="1" fillId="8" borderId="24" xfId="1" applyFont="1" applyFill="1" applyBorder="1" applyAlignment="1">
      <alignment horizontal="center" vertical="top" wrapText="1"/>
    </xf>
    <xf numFmtId="0" fontId="1" fillId="8" borderId="25" xfId="1" applyFont="1" applyFill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 indent="2"/>
    </xf>
    <xf numFmtId="0" fontId="15" fillId="0" borderId="9" xfId="0" applyFont="1" applyBorder="1" applyAlignment="1">
      <alignment horizontal="left" vertical="top" wrapText="1" indent="2"/>
    </xf>
    <xf numFmtId="0" fontId="15" fillId="0" borderId="10" xfId="0" applyFont="1" applyBorder="1" applyAlignment="1">
      <alignment horizontal="left" vertical="top" wrapText="1" indent="2"/>
    </xf>
    <xf numFmtId="0" fontId="15" fillId="0" borderId="1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left" vertical="top" wrapText="1" indent="2"/>
    </xf>
    <xf numFmtId="0" fontId="15" fillId="0" borderId="12" xfId="0" applyFont="1" applyBorder="1" applyAlignment="1">
      <alignment horizontal="left" vertical="top" wrapText="1" indent="2"/>
    </xf>
    <xf numFmtId="0" fontId="15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86" fillId="7" borderId="0" xfId="0" applyFont="1" applyFill="1" applyAlignment="1">
      <alignment horizontal="left" vertical="top"/>
    </xf>
    <xf numFmtId="0" fontId="10" fillId="21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12" fillId="0" borderId="0" xfId="1" applyFont="1" applyBorder="1" applyAlignment="1">
      <alignment horizontal="left" vertical="center" wrapText="1"/>
    </xf>
    <xf numFmtId="0" fontId="12" fillId="0" borderId="0" xfId="1" applyFont="1" applyBorder="1" applyAlignment="1">
      <alignment horizontal="center" vertical="center" wrapText="1"/>
    </xf>
    <xf numFmtId="0" fontId="8" fillId="7" borderId="0" xfId="1" applyFont="1" applyFill="1" applyBorder="1" applyAlignment="1">
      <alignment horizontal="left" vertical="top" wrapText="1"/>
    </xf>
    <xf numFmtId="0" fontId="10" fillId="11" borderId="4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 applyProtection="1">
      <alignment horizontal="center" vertical="center"/>
      <protection hidden="1"/>
    </xf>
    <xf numFmtId="0" fontId="25" fillId="11" borderId="7" xfId="0" applyFont="1" applyFill="1" applyBorder="1" applyAlignment="1" applyProtection="1">
      <alignment horizontal="center" vertical="center"/>
      <protection hidden="1"/>
    </xf>
    <xf numFmtId="0" fontId="25" fillId="11" borderId="14" xfId="0" applyFont="1" applyFill="1" applyBorder="1" applyAlignment="1" applyProtection="1">
      <alignment horizontal="center" vertical="center"/>
      <protection hidden="1"/>
    </xf>
    <xf numFmtId="0" fontId="10" fillId="21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37" fillId="7" borderId="3" xfId="0" applyFont="1" applyFill="1" applyBorder="1" applyAlignment="1">
      <alignment horizontal="center" vertical="center" wrapText="1"/>
    </xf>
    <xf numFmtId="0" fontId="42" fillId="7" borderId="3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49" fillId="15" borderId="27" xfId="0" applyFont="1" applyFill="1" applyBorder="1" applyAlignment="1">
      <alignment horizontal="center" vertical="top"/>
    </xf>
    <xf numFmtId="0" fontId="49" fillId="21" borderId="27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47625</xdr:rowOff>
    </xdr:from>
    <xdr:ext cx="2020065" cy="44767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7625"/>
          <a:ext cx="2020065" cy="447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121157</xdr:colOff>
      <xdr:row>34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6266032" y="658749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100481</xdr:colOff>
      <xdr:row>0</xdr:row>
      <xdr:rowOff>12786</xdr:rowOff>
    </xdr:from>
    <xdr:ext cx="1306289" cy="373239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46" y="12786"/>
          <a:ext cx="1306289" cy="37323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121157</xdr:colOff>
      <xdr:row>41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A8060B5-5D0E-43D7-9D21-6CFA4057FADC}"/>
            </a:ext>
          </a:extLst>
        </xdr:cNvPr>
        <xdr:cNvSpPr/>
      </xdr:nvSpPr>
      <xdr:spPr>
        <a:xfrm>
          <a:off x="9465182" y="7968615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100481</xdr:colOff>
      <xdr:row>0</xdr:row>
      <xdr:rowOff>12786</xdr:rowOff>
    </xdr:from>
    <xdr:ext cx="1306289" cy="373239"/>
    <xdr:pic>
      <xdr:nvPicPr>
        <xdr:cNvPr id="3" name="image1.jpeg">
          <a:extLst>
            <a:ext uri="{FF2B5EF4-FFF2-40B4-BE49-F238E27FC236}">
              <a16:creationId xmlns:a16="http://schemas.microsoft.com/office/drawing/2014/main" id="{522F635A-D4A5-4417-A3B6-E339B1255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656" y="12786"/>
          <a:ext cx="1306289" cy="37323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350043</xdr:colOff>
      <xdr:row>0</xdr:row>
      <xdr:rowOff>83344</xdr:rowOff>
    </xdr:from>
    <xdr:ext cx="2020065" cy="44767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43" y="83344"/>
          <a:ext cx="2020065" cy="447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121157</xdr:colOff>
      <xdr:row>42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2B46C63-71D2-49DA-A40F-5D4749CA2C2A}"/>
            </a:ext>
          </a:extLst>
        </xdr:cNvPr>
        <xdr:cNvSpPr/>
      </xdr:nvSpPr>
      <xdr:spPr>
        <a:xfrm>
          <a:off x="11863577" y="945642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100481</xdr:colOff>
      <xdr:row>0</xdr:row>
      <xdr:rowOff>12786</xdr:rowOff>
    </xdr:from>
    <xdr:ext cx="1306289" cy="373239"/>
    <xdr:pic>
      <xdr:nvPicPr>
        <xdr:cNvPr id="3" name="image1.jpeg">
          <a:extLst>
            <a:ext uri="{FF2B5EF4-FFF2-40B4-BE49-F238E27FC236}">
              <a16:creationId xmlns:a16="http://schemas.microsoft.com/office/drawing/2014/main" id="{3BDD9837-BD9A-40EA-850B-3B2824936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81" y="12786"/>
          <a:ext cx="1306289" cy="37323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350043</xdr:colOff>
      <xdr:row>0</xdr:row>
      <xdr:rowOff>83344</xdr:rowOff>
    </xdr:from>
    <xdr:ext cx="2020065" cy="447675"/>
    <xdr:pic>
      <xdr:nvPicPr>
        <xdr:cNvPr id="2" name="image1.jpeg">
          <a:extLst>
            <a:ext uri="{FF2B5EF4-FFF2-40B4-BE49-F238E27FC236}">
              <a16:creationId xmlns:a16="http://schemas.microsoft.com/office/drawing/2014/main" id="{7D32FAF6-F0D7-4085-9258-163A9F16A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43" y="83344"/>
          <a:ext cx="2020065" cy="4476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121157</xdr:colOff>
      <xdr:row>34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ACE4714-85D3-48EA-9CEA-D6F7C29401BB}"/>
            </a:ext>
          </a:extLst>
        </xdr:cNvPr>
        <xdr:cNvSpPr/>
      </xdr:nvSpPr>
      <xdr:spPr>
        <a:xfrm>
          <a:off x="12625577" y="991362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100481</xdr:colOff>
      <xdr:row>0</xdr:row>
      <xdr:rowOff>12786</xdr:rowOff>
    </xdr:from>
    <xdr:ext cx="1306289" cy="373239"/>
    <xdr:pic>
      <xdr:nvPicPr>
        <xdr:cNvPr id="3" name="image1.jpeg">
          <a:extLst>
            <a:ext uri="{FF2B5EF4-FFF2-40B4-BE49-F238E27FC236}">
              <a16:creationId xmlns:a16="http://schemas.microsoft.com/office/drawing/2014/main" id="{379EA3A8-D88B-46D0-8479-B8A8868B9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481" y="12786"/>
          <a:ext cx="1306289" cy="37323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350043</xdr:colOff>
      <xdr:row>0</xdr:row>
      <xdr:rowOff>83344</xdr:rowOff>
    </xdr:from>
    <xdr:ext cx="2020065" cy="447675"/>
    <xdr:pic>
      <xdr:nvPicPr>
        <xdr:cNvPr id="2" name="image1.jpeg">
          <a:extLst>
            <a:ext uri="{FF2B5EF4-FFF2-40B4-BE49-F238E27FC236}">
              <a16:creationId xmlns:a16="http://schemas.microsoft.com/office/drawing/2014/main" id="{C0038EFD-1135-4284-ACC6-25355D197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43" y="83344"/>
          <a:ext cx="2020065" cy="4476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121157</xdr:colOff>
      <xdr:row>60</xdr:row>
      <xdr:rowOff>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9D653AD-C6B6-4D74-8F38-AB3C2867C88C}"/>
            </a:ext>
          </a:extLst>
        </xdr:cNvPr>
        <xdr:cNvSpPr/>
      </xdr:nvSpPr>
      <xdr:spPr>
        <a:xfrm>
          <a:off x="12496037" y="1391412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100481</xdr:colOff>
      <xdr:row>0</xdr:row>
      <xdr:rowOff>12786</xdr:rowOff>
    </xdr:from>
    <xdr:ext cx="1306289" cy="373239"/>
    <xdr:pic>
      <xdr:nvPicPr>
        <xdr:cNvPr id="3" name="image1.jpeg">
          <a:extLst>
            <a:ext uri="{FF2B5EF4-FFF2-40B4-BE49-F238E27FC236}">
              <a16:creationId xmlns:a16="http://schemas.microsoft.com/office/drawing/2014/main" id="{91DEEF8D-F306-4F7B-8C18-79964904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481" y="12786"/>
          <a:ext cx="1306289" cy="373239"/>
        </a:xfrm>
        <a:prstGeom prst="rect">
          <a:avLst/>
        </a:prstGeom>
      </xdr:spPr>
    </xdr:pic>
    <xdr:clientData/>
  </xdr:oneCellAnchor>
  <xdr:oneCellAnchor>
    <xdr:from>
      <xdr:col>29</xdr:col>
      <xdr:colOff>121157</xdr:colOff>
      <xdr:row>60</xdr:row>
      <xdr:rowOff>167640</xdr:rowOff>
    </xdr:from>
    <xdr:ext cx="6350" cy="85725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723E03A4-CA4C-43A5-A741-7935C52D2D07}"/>
            </a:ext>
          </a:extLst>
        </xdr:cNvPr>
        <xdr:cNvSpPr/>
      </xdr:nvSpPr>
      <xdr:spPr>
        <a:xfrm>
          <a:off x="12496037" y="1391412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33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P28" sqref="P28"/>
    </sheetView>
  </sheetViews>
  <sheetFormatPr defaultRowHeight="13.2" x14ac:dyDescent="0.25"/>
  <cols>
    <col min="1" max="1" width="11.77734375" bestFit="1" customWidth="1"/>
    <col min="2" max="2" width="33" bestFit="1" customWidth="1"/>
    <col min="3" max="3" width="26" bestFit="1" customWidth="1"/>
    <col min="4" max="4" width="10.44140625" bestFit="1" customWidth="1"/>
    <col min="5" max="5" width="5.109375" bestFit="1" customWidth="1"/>
    <col min="6" max="6" width="11" bestFit="1" customWidth="1"/>
    <col min="7" max="26" width="4.77734375" customWidth="1"/>
    <col min="27" max="37" width="5" bestFit="1" customWidth="1"/>
    <col min="38" max="38" width="12.77734375" customWidth="1"/>
  </cols>
  <sheetData>
    <row r="1" spans="1:38" ht="44.25" customHeight="1" x14ac:dyDescent="0.25">
      <c r="A1" s="536"/>
      <c r="B1" s="537"/>
      <c r="C1" s="538" t="s">
        <v>63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40"/>
      <c r="AH1" s="541" t="s">
        <v>59</v>
      </c>
      <c r="AI1" s="542"/>
      <c r="AJ1" s="542"/>
      <c r="AK1" s="542"/>
      <c r="AL1" s="543"/>
    </row>
    <row r="2" spans="1:38" x14ac:dyDescent="0.25">
      <c r="A2" s="544" t="s">
        <v>12</v>
      </c>
      <c r="B2" s="546" t="s">
        <v>13</v>
      </c>
      <c r="C2" s="547"/>
      <c r="D2" s="547"/>
      <c r="E2" s="548"/>
      <c r="F2" s="12"/>
      <c r="G2" s="551" t="s">
        <v>3</v>
      </c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3"/>
    </row>
    <row r="3" spans="1:38" x14ac:dyDescent="0.25">
      <c r="A3" s="545"/>
      <c r="B3" s="549"/>
      <c r="C3" s="550"/>
      <c r="D3" s="550"/>
      <c r="E3" s="550"/>
      <c r="F3" s="20"/>
      <c r="G3" s="13" t="str">
        <f>UPPER(TEXT(G4,"ddd"))</f>
        <v>QUI</v>
      </c>
      <c r="H3" s="13" t="str">
        <f t="shared" ref="H3:AK3" si="0">UPPER(TEXT(H4,"ddd"))</f>
        <v>SEX</v>
      </c>
      <c r="I3" s="13" t="str">
        <f t="shared" si="0"/>
        <v>SÁB</v>
      </c>
      <c r="J3" s="13" t="str">
        <f t="shared" si="0"/>
        <v>DOM</v>
      </c>
      <c r="K3" s="13" t="str">
        <f t="shared" si="0"/>
        <v>SEG</v>
      </c>
      <c r="L3" s="13" t="str">
        <f t="shared" si="0"/>
        <v>TER</v>
      </c>
      <c r="M3" s="13" t="str">
        <f t="shared" si="0"/>
        <v>QUA</v>
      </c>
      <c r="N3" s="13" t="str">
        <f t="shared" si="0"/>
        <v>QUI</v>
      </c>
      <c r="O3" s="13" t="str">
        <f t="shared" si="0"/>
        <v>SEX</v>
      </c>
      <c r="P3" s="13" t="str">
        <f t="shared" si="0"/>
        <v>SÁB</v>
      </c>
      <c r="Q3" s="13" t="str">
        <f t="shared" si="0"/>
        <v>DOM</v>
      </c>
      <c r="R3" s="13" t="str">
        <f t="shared" si="0"/>
        <v>SEG</v>
      </c>
      <c r="S3" s="13" t="str">
        <f t="shared" si="0"/>
        <v>TER</v>
      </c>
      <c r="T3" s="13" t="str">
        <f t="shared" si="0"/>
        <v>QUA</v>
      </c>
      <c r="U3" s="13" t="str">
        <f t="shared" si="0"/>
        <v>QUI</v>
      </c>
      <c r="V3" s="13" t="str">
        <f t="shared" si="0"/>
        <v>SEX</v>
      </c>
      <c r="W3" s="13" t="str">
        <f t="shared" si="0"/>
        <v>SÁB</v>
      </c>
      <c r="X3" s="13" t="str">
        <f t="shared" si="0"/>
        <v>DOM</v>
      </c>
      <c r="Y3" s="13" t="str">
        <f t="shared" si="0"/>
        <v>SEG</v>
      </c>
      <c r="Z3" s="13" t="str">
        <f t="shared" si="0"/>
        <v>TER</v>
      </c>
      <c r="AA3" s="13" t="str">
        <f t="shared" si="0"/>
        <v>QUA</v>
      </c>
      <c r="AB3" s="13" t="str">
        <f t="shared" si="0"/>
        <v>QUI</v>
      </c>
      <c r="AC3" s="13" t="str">
        <f t="shared" si="0"/>
        <v>SEX</v>
      </c>
      <c r="AD3" s="13" t="str">
        <f t="shared" si="0"/>
        <v>SÁB</v>
      </c>
      <c r="AE3" s="13" t="str">
        <f t="shared" si="0"/>
        <v>DOM</v>
      </c>
      <c r="AF3" s="13" t="str">
        <f t="shared" si="0"/>
        <v>SEG</v>
      </c>
      <c r="AG3" s="13" t="str">
        <f t="shared" si="0"/>
        <v>TER</v>
      </c>
      <c r="AH3" s="13" t="str">
        <f t="shared" si="0"/>
        <v>QUA</v>
      </c>
      <c r="AI3" s="13" t="str">
        <f t="shared" si="0"/>
        <v>QUI</v>
      </c>
      <c r="AJ3" s="13" t="str">
        <f t="shared" si="0"/>
        <v>SEX</v>
      </c>
      <c r="AK3" s="13" t="str">
        <f t="shared" si="0"/>
        <v>SÁB</v>
      </c>
      <c r="AL3" s="14" t="s">
        <v>16</v>
      </c>
    </row>
    <row r="4" spans="1:38" ht="17.25" customHeight="1" x14ac:dyDescent="0.25">
      <c r="A4" s="22" t="s">
        <v>17</v>
      </c>
      <c r="B4" s="22" t="s">
        <v>41</v>
      </c>
      <c r="C4" s="22" t="s">
        <v>4</v>
      </c>
      <c r="D4" s="22" t="s">
        <v>5</v>
      </c>
      <c r="E4" s="22" t="s">
        <v>6</v>
      </c>
      <c r="F4" s="24" t="s">
        <v>11</v>
      </c>
      <c r="G4" s="17">
        <v>46023</v>
      </c>
      <c r="H4" s="15">
        <f>G4+1</f>
        <v>46024</v>
      </c>
      <c r="I4" s="15">
        <f t="shared" ref="I4:AK4" si="1">H4+1</f>
        <v>46025</v>
      </c>
      <c r="J4" s="15">
        <f t="shared" si="1"/>
        <v>46026</v>
      </c>
      <c r="K4" s="15">
        <f t="shared" si="1"/>
        <v>46027</v>
      </c>
      <c r="L4" s="15">
        <f t="shared" si="1"/>
        <v>46028</v>
      </c>
      <c r="M4" s="15">
        <f t="shared" si="1"/>
        <v>46029</v>
      </c>
      <c r="N4" s="15">
        <f t="shared" si="1"/>
        <v>46030</v>
      </c>
      <c r="O4" s="15">
        <f t="shared" si="1"/>
        <v>46031</v>
      </c>
      <c r="P4" s="15">
        <f t="shared" si="1"/>
        <v>46032</v>
      </c>
      <c r="Q4" s="15">
        <f t="shared" si="1"/>
        <v>46033</v>
      </c>
      <c r="R4" s="15">
        <f t="shared" si="1"/>
        <v>46034</v>
      </c>
      <c r="S4" s="15">
        <f t="shared" si="1"/>
        <v>46035</v>
      </c>
      <c r="T4" s="15">
        <f t="shared" si="1"/>
        <v>46036</v>
      </c>
      <c r="U4" s="15">
        <f t="shared" si="1"/>
        <v>46037</v>
      </c>
      <c r="V4" s="15">
        <f t="shared" si="1"/>
        <v>46038</v>
      </c>
      <c r="W4" s="15">
        <f t="shared" si="1"/>
        <v>46039</v>
      </c>
      <c r="X4" s="15">
        <f t="shared" si="1"/>
        <v>46040</v>
      </c>
      <c r="Y4" s="15">
        <f t="shared" si="1"/>
        <v>46041</v>
      </c>
      <c r="Z4" s="15">
        <f t="shared" si="1"/>
        <v>46042</v>
      </c>
      <c r="AA4" s="15">
        <f t="shared" si="1"/>
        <v>46043</v>
      </c>
      <c r="AB4" s="15">
        <f t="shared" si="1"/>
        <v>46044</v>
      </c>
      <c r="AC4" s="15">
        <f t="shared" si="1"/>
        <v>46045</v>
      </c>
      <c r="AD4" s="15">
        <f t="shared" si="1"/>
        <v>46046</v>
      </c>
      <c r="AE4" s="15">
        <f t="shared" si="1"/>
        <v>46047</v>
      </c>
      <c r="AF4" s="15">
        <f t="shared" si="1"/>
        <v>46048</v>
      </c>
      <c r="AG4" s="15">
        <f t="shared" si="1"/>
        <v>46049</v>
      </c>
      <c r="AH4" s="15">
        <f t="shared" si="1"/>
        <v>46050</v>
      </c>
      <c r="AI4" s="15">
        <f t="shared" si="1"/>
        <v>46051</v>
      </c>
      <c r="AJ4" s="15">
        <f t="shared" si="1"/>
        <v>46052</v>
      </c>
      <c r="AK4" s="15">
        <f t="shared" si="1"/>
        <v>46053</v>
      </c>
      <c r="AL4" s="16" t="s">
        <v>2</v>
      </c>
    </row>
    <row r="5" spans="1:38" ht="17.25" customHeight="1" x14ac:dyDescent="0.25">
      <c r="A5" s="53">
        <v>17875</v>
      </c>
      <c r="B5" s="52" t="s">
        <v>42</v>
      </c>
      <c r="C5" s="25" t="s">
        <v>18</v>
      </c>
      <c r="D5" s="25" t="s">
        <v>37</v>
      </c>
      <c r="E5" s="23">
        <v>36</v>
      </c>
      <c r="F5" s="4">
        <f t="shared" ref="F5:F30" si="2">SUMPRODUCT((G5:AK5="SD")+(G5:AK5="SN")+(G5:AK5="MT")+(G5:AK5="8H")+(G5:AK5="N")+(G5:AK5="M")+(G5:AK5="T")+(G5:AK5="AE")+(G5:AK5="AB")+(G5:AK5="AA")+(G5:AK5="FC"))</f>
        <v>13</v>
      </c>
      <c r="G5" s="18"/>
      <c r="H5" s="9"/>
      <c r="I5" s="8" t="s">
        <v>9</v>
      </c>
      <c r="J5" s="7"/>
      <c r="K5" s="6" t="s">
        <v>58</v>
      </c>
      <c r="L5" s="9"/>
      <c r="M5" s="9"/>
      <c r="N5" s="33" t="s">
        <v>9</v>
      </c>
      <c r="O5" s="37" t="s">
        <v>8</v>
      </c>
      <c r="P5" s="7"/>
      <c r="Q5" s="7"/>
      <c r="R5" s="6" t="s">
        <v>58</v>
      </c>
      <c r="S5" s="36"/>
      <c r="T5" s="10" t="s">
        <v>8</v>
      </c>
      <c r="U5" s="6"/>
      <c r="V5" s="54" t="s">
        <v>8</v>
      </c>
      <c r="W5" s="8"/>
      <c r="X5" s="38"/>
      <c r="Y5" s="6" t="s">
        <v>58</v>
      </c>
      <c r="Z5" s="9"/>
      <c r="AA5" s="9"/>
      <c r="AB5" s="10" t="s">
        <v>8</v>
      </c>
      <c r="AC5" s="9"/>
      <c r="AD5" s="96" t="s">
        <v>9</v>
      </c>
      <c r="AE5" s="97"/>
      <c r="AF5" s="10" t="s">
        <v>8</v>
      </c>
      <c r="AG5" s="6"/>
      <c r="AH5" s="9"/>
      <c r="AI5" s="6" t="s">
        <v>58</v>
      </c>
      <c r="AJ5" s="9"/>
      <c r="AK5" s="8" t="s">
        <v>58</v>
      </c>
      <c r="AL5" s="5">
        <f t="shared" ref="AL5:AL32" si="3">SUMPRODUCT((G5:AK5="SD")*12 + (G5:AK5="SN")*12 + (G5:AK5="MT")*8 + (G5:AK5="M")*6 + (G5:AK5="T")*6)</f>
        <v>156</v>
      </c>
    </row>
    <row r="6" spans="1:38" ht="17.25" customHeight="1" x14ac:dyDescent="0.25">
      <c r="A6" s="53">
        <v>17862</v>
      </c>
      <c r="B6" s="52" t="s">
        <v>43</v>
      </c>
      <c r="C6" s="25" t="s">
        <v>18</v>
      </c>
      <c r="D6" s="25" t="s">
        <v>37</v>
      </c>
      <c r="E6" s="23">
        <v>36</v>
      </c>
      <c r="F6" s="4">
        <f t="shared" si="2"/>
        <v>13</v>
      </c>
      <c r="G6" s="18"/>
      <c r="H6" s="6" t="s">
        <v>9</v>
      </c>
      <c r="I6" s="8" t="s">
        <v>58</v>
      </c>
      <c r="J6" s="7"/>
      <c r="K6" s="9"/>
      <c r="L6" s="6"/>
      <c r="M6" s="9" t="s">
        <v>9</v>
      </c>
      <c r="N6" s="33" t="s">
        <v>58</v>
      </c>
      <c r="O6" s="36"/>
      <c r="P6" s="7"/>
      <c r="Q6" s="8" t="s">
        <v>9</v>
      </c>
      <c r="R6" s="9"/>
      <c r="S6" s="33" t="s">
        <v>58</v>
      </c>
      <c r="T6" s="9"/>
      <c r="U6" s="9"/>
      <c r="V6" s="6" t="s">
        <v>9</v>
      </c>
      <c r="W6" s="7"/>
      <c r="X6" s="34" t="s">
        <v>9</v>
      </c>
      <c r="Y6" s="9"/>
      <c r="Z6" s="9"/>
      <c r="AA6" s="6" t="s">
        <v>9</v>
      </c>
      <c r="AB6" s="9"/>
      <c r="AC6" s="6" t="s">
        <v>58</v>
      </c>
      <c r="AD6" s="97"/>
      <c r="AE6" s="96" t="s">
        <v>9</v>
      </c>
      <c r="AF6" s="36"/>
      <c r="AG6" s="9"/>
      <c r="AH6" s="6" t="s">
        <v>58</v>
      </c>
      <c r="AI6" s="9"/>
      <c r="AJ6" s="6" t="s">
        <v>9</v>
      </c>
      <c r="AK6" s="7"/>
      <c r="AL6" s="5">
        <f t="shared" si="3"/>
        <v>156</v>
      </c>
    </row>
    <row r="7" spans="1:38" ht="17.25" customHeight="1" x14ac:dyDescent="0.25">
      <c r="A7" s="53">
        <v>17840</v>
      </c>
      <c r="B7" s="52" t="s">
        <v>44</v>
      </c>
      <c r="C7" s="25" t="s">
        <v>18</v>
      </c>
      <c r="D7" s="25" t="s">
        <v>37</v>
      </c>
      <c r="E7" s="23">
        <v>36</v>
      </c>
      <c r="F7" s="4">
        <f t="shared" si="2"/>
        <v>13</v>
      </c>
      <c r="G7" s="35" t="s">
        <v>9</v>
      </c>
      <c r="H7" s="9"/>
      <c r="I7" s="8" t="s">
        <v>58</v>
      </c>
      <c r="J7" s="7"/>
      <c r="K7" s="6" t="s">
        <v>9</v>
      </c>
      <c r="L7" s="9"/>
      <c r="M7" s="9"/>
      <c r="N7" s="36"/>
      <c r="O7" s="33" t="s">
        <v>9</v>
      </c>
      <c r="P7" s="7"/>
      <c r="Q7" s="8" t="s">
        <v>9</v>
      </c>
      <c r="R7" s="9"/>
      <c r="S7" s="33" t="s">
        <v>58</v>
      </c>
      <c r="T7" s="9"/>
      <c r="U7" s="9"/>
      <c r="V7" s="6" t="s">
        <v>9</v>
      </c>
      <c r="W7" s="7"/>
      <c r="X7" s="34" t="s">
        <v>9</v>
      </c>
      <c r="Y7" s="9"/>
      <c r="Z7" s="9"/>
      <c r="AA7" s="6" t="s">
        <v>9</v>
      </c>
      <c r="AB7" s="9"/>
      <c r="AC7" s="6" t="s">
        <v>58</v>
      </c>
      <c r="AD7" s="97"/>
      <c r="AE7" s="96" t="s">
        <v>9</v>
      </c>
      <c r="AF7" s="36"/>
      <c r="AG7" s="9"/>
      <c r="AH7" s="6" t="s">
        <v>58</v>
      </c>
      <c r="AI7" s="9"/>
      <c r="AJ7" s="6" t="s">
        <v>9</v>
      </c>
      <c r="AK7" s="7"/>
      <c r="AL7" s="5">
        <f t="shared" si="3"/>
        <v>156</v>
      </c>
    </row>
    <row r="8" spans="1:38" ht="22.5" customHeight="1" x14ac:dyDescent="0.25">
      <c r="A8" s="83"/>
      <c r="B8" s="52" t="s">
        <v>45</v>
      </c>
      <c r="C8" s="25" t="s">
        <v>18</v>
      </c>
      <c r="D8" s="25" t="s">
        <v>37</v>
      </c>
      <c r="E8" s="23">
        <v>36</v>
      </c>
      <c r="F8" s="4">
        <f t="shared" si="2"/>
        <v>13</v>
      </c>
      <c r="G8" s="35" t="s">
        <v>9</v>
      </c>
      <c r="H8" s="9"/>
      <c r="I8" s="8" t="s">
        <v>9</v>
      </c>
      <c r="J8" s="7"/>
      <c r="K8" s="10" t="s">
        <v>8</v>
      </c>
      <c r="L8" s="9"/>
      <c r="M8" s="9"/>
      <c r="N8" s="33" t="s">
        <v>9</v>
      </c>
      <c r="O8" s="36"/>
      <c r="P8" s="7"/>
      <c r="Q8" s="39" t="s">
        <v>8</v>
      </c>
      <c r="R8" s="9"/>
      <c r="S8" s="33" t="s">
        <v>9</v>
      </c>
      <c r="T8" s="9"/>
      <c r="U8" s="9"/>
      <c r="V8" s="6" t="s">
        <v>9</v>
      </c>
      <c r="W8" s="7"/>
      <c r="X8" s="34" t="s">
        <v>9</v>
      </c>
      <c r="Y8" s="9"/>
      <c r="Z8" s="9"/>
      <c r="AA8" s="6" t="s">
        <v>9</v>
      </c>
      <c r="AB8" s="9"/>
      <c r="AC8" s="6" t="s">
        <v>9</v>
      </c>
      <c r="AD8" s="97"/>
      <c r="AE8" s="96" t="s">
        <v>58</v>
      </c>
      <c r="AF8" s="36"/>
      <c r="AG8" s="9"/>
      <c r="AH8" s="6" t="s">
        <v>9</v>
      </c>
      <c r="AI8" s="9"/>
      <c r="AJ8" s="6" t="s">
        <v>9</v>
      </c>
      <c r="AK8" s="7"/>
      <c r="AL8" s="5">
        <f t="shared" si="3"/>
        <v>156</v>
      </c>
    </row>
    <row r="9" spans="1:38" ht="17.25" customHeight="1" x14ac:dyDescent="0.3">
      <c r="A9" s="84">
        <v>17871</v>
      </c>
      <c r="B9" s="42" t="s">
        <v>66</v>
      </c>
      <c r="C9" s="42" t="s">
        <v>18</v>
      </c>
      <c r="D9" s="42" t="s">
        <v>37</v>
      </c>
      <c r="E9" s="43">
        <v>36</v>
      </c>
      <c r="F9" s="4">
        <v>13</v>
      </c>
      <c r="G9" s="44" t="s">
        <v>9</v>
      </c>
      <c r="H9" s="45"/>
      <c r="I9" s="46"/>
      <c r="J9" s="47" t="s">
        <v>58</v>
      </c>
      <c r="K9" s="48"/>
      <c r="L9" s="48"/>
      <c r="M9" s="49" t="s">
        <v>9</v>
      </c>
      <c r="N9" s="48"/>
      <c r="O9" s="49" t="s">
        <v>58</v>
      </c>
      <c r="P9" s="46"/>
      <c r="Q9" s="46"/>
      <c r="R9" s="50" t="s">
        <v>9</v>
      </c>
      <c r="S9" s="45"/>
      <c r="T9" s="49"/>
      <c r="U9" s="45" t="s">
        <v>7</v>
      </c>
      <c r="V9" s="45"/>
      <c r="W9" s="47" t="s">
        <v>9</v>
      </c>
      <c r="X9" s="46"/>
      <c r="Y9" s="50" t="s">
        <v>58</v>
      </c>
      <c r="Z9" s="45"/>
      <c r="AA9" s="45"/>
      <c r="AB9" s="50" t="s">
        <v>9</v>
      </c>
      <c r="AC9" s="45"/>
      <c r="AD9" s="98" t="s">
        <v>58</v>
      </c>
      <c r="AE9" s="99"/>
      <c r="AF9" s="45"/>
      <c r="AG9" s="50" t="s">
        <v>9</v>
      </c>
      <c r="AH9" s="45"/>
      <c r="AI9" s="50" t="s">
        <v>58</v>
      </c>
      <c r="AJ9" s="45"/>
      <c r="AK9" s="47" t="s">
        <v>58</v>
      </c>
      <c r="AL9" s="5">
        <v>156</v>
      </c>
    </row>
    <row r="10" spans="1:38" ht="17.25" customHeight="1" x14ac:dyDescent="0.25">
      <c r="A10" s="85">
        <v>17869</v>
      </c>
      <c r="B10" s="52" t="s">
        <v>10</v>
      </c>
      <c r="C10" s="25" t="s">
        <v>18</v>
      </c>
      <c r="D10" s="25" t="s">
        <v>37</v>
      </c>
      <c r="E10" s="23">
        <v>36</v>
      </c>
      <c r="F10" s="4">
        <f t="shared" si="2"/>
        <v>13</v>
      </c>
      <c r="G10" s="18"/>
      <c r="H10" s="33"/>
      <c r="I10" s="11" t="s">
        <v>9</v>
      </c>
      <c r="J10" s="11" t="s">
        <v>9</v>
      </c>
      <c r="K10" s="6" t="s">
        <v>9</v>
      </c>
      <c r="L10" s="9"/>
      <c r="M10" s="6" t="s">
        <v>9</v>
      </c>
      <c r="N10" s="33" t="s">
        <v>9</v>
      </c>
      <c r="O10" s="33"/>
      <c r="P10" s="7"/>
      <c r="Q10" s="7"/>
      <c r="R10" s="6"/>
      <c r="S10" s="9"/>
      <c r="T10" s="33" t="s">
        <v>58</v>
      </c>
      <c r="U10" s="9"/>
      <c r="V10" s="9"/>
      <c r="W10" s="8" t="s">
        <v>9</v>
      </c>
      <c r="X10" s="7"/>
      <c r="Y10" s="6" t="s">
        <v>58</v>
      </c>
      <c r="Z10" s="9"/>
      <c r="AA10" s="6" t="s">
        <v>9</v>
      </c>
      <c r="AB10" s="9"/>
      <c r="AC10" s="6" t="s">
        <v>9</v>
      </c>
      <c r="AD10" s="97"/>
      <c r="AE10" s="96" t="s">
        <v>58</v>
      </c>
      <c r="AF10" s="36"/>
      <c r="AG10" s="6" t="s">
        <v>58</v>
      </c>
      <c r="AH10" s="9"/>
      <c r="AI10" s="9"/>
      <c r="AJ10" s="6" t="s">
        <v>9</v>
      </c>
      <c r="AK10" s="7"/>
      <c r="AL10" s="5">
        <f t="shared" si="3"/>
        <v>156</v>
      </c>
    </row>
    <row r="11" spans="1:38" ht="17.25" customHeight="1" x14ac:dyDescent="0.25">
      <c r="A11" s="85">
        <v>17832</v>
      </c>
      <c r="B11" s="52" t="s">
        <v>46</v>
      </c>
      <c r="C11" s="25" t="s">
        <v>18</v>
      </c>
      <c r="D11" s="25" t="s">
        <v>37</v>
      </c>
      <c r="E11" s="23">
        <v>36</v>
      </c>
      <c r="F11" s="4">
        <f t="shared" si="2"/>
        <v>13</v>
      </c>
      <c r="G11" s="111" t="s">
        <v>9</v>
      </c>
      <c r="H11" s="9"/>
      <c r="I11" s="55" t="s">
        <v>9</v>
      </c>
      <c r="J11" s="7"/>
      <c r="K11" s="9"/>
      <c r="L11" s="6" t="s">
        <v>9</v>
      </c>
      <c r="M11" s="9"/>
      <c r="N11" s="33" t="s">
        <v>9</v>
      </c>
      <c r="O11" s="36"/>
      <c r="P11" s="96" t="s">
        <v>9</v>
      </c>
      <c r="Q11" s="97"/>
      <c r="R11" s="9"/>
      <c r="S11" s="6" t="s">
        <v>9</v>
      </c>
      <c r="T11" s="36"/>
      <c r="U11" s="6" t="s">
        <v>9</v>
      </c>
      <c r="V11" s="9"/>
      <c r="W11" s="7"/>
      <c r="X11" s="8" t="s">
        <v>9</v>
      </c>
      <c r="Y11" s="9"/>
      <c r="Z11" s="6" t="s">
        <v>9</v>
      </c>
      <c r="AA11" s="9"/>
      <c r="AB11" s="9"/>
      <c r="AC11" s="6" t="s">
        <v>9</v>
      </c>
      <c r="AD11" s="97"/>
      <c r="AE11" s="96" t="s">
        <v>9</v>
      </c>
      <c r="AF11" s="36"/>
      <c r="AG11" s="9"/>
      <c r="AH11" s="6" t="s">
        <v>9</v>
      </c>
      <c r="AI11" s="9"/>
      <c r="AJ11" s="6" t="s">
        <v>9</v>
      </c>
      <c r="AK11" s="7"/>
      <c r="AL11" s="5">
        <f t="shared" si="3"/>
        <v>156</v>
      </c>
    </row>
    <row r="12" spans="1:38" ht="17.25" customHeight="1" x14ac:dyDescent="0.25">
      <c r="A12" s="85">
        <v>17876</v>
      </c>
      <c r="B12" s="52" t="s">
        <v>47</v>
      </c>
      <c r="C12" s="25" t="s">
        <v>18</v>
      </c>
      <c r="D12" s="25" t="s">
        <v>37</v>
      </c>
      <c r="E12" s="23">
        <v>36</v>
      </c>
      <c r="F12" s="4">
        <f t="shared" si="2"/>
        <v>13</v>
      </c>
      <c r="G12" s="111" t="s">
        <v>9</v>
      </c>
      <c r="H12" s="9"/>
      <c r="I12" s="7"/>
      <c r="J12" s="55"/>
      <c r="K12" s="9"/>
      <c r="L12" s="6" t="s">
        <v>58</v>
      </c>
      <c r="M12" s="9"/>
      <c r="N12" s="33" t="s">
        <v>9</v>
      </c>
      <c r="O12" s="36"/>
      <c r="P12" s="97"/>
      <c r="Q12" s="96" t="s">
        <v>9</v>
      </c>
      <c r="R12" s="41" t="s">
        <v>9</v>
      </c>
      <c r="S12" s="9"/>
      <c r="T12" s="33" t="s">
        <v>9</v>
      </c>
      <c r="U12" s="9"/>
      <c r="V12" s="6" t="s">
        <v>9</v>
      </c>
      <c r="W12" s="7"/>
      <c r="X12" s="7"/>
      <c r="Y12" s="6" t="s">
        <v>9</v>
      </c>
      <c r="Z12" s="9"/>
      <c r="AA12" s="6" t="s">
        <v>9</v>
      </c>
      <c r="AB12" s="9"/>
      <c r="AC12" s="9"/>
      <c r="AD12" s="96" t="s">
        <v>9</v>
      </c>
      <c r="AE12" s="97"/>
      <c r="AF12" s="33"/>
      <c r="AG12" s="41" t="s">
        <v>9</v>
      </c>
      <c r="AH12" s="9"/>
      <c r="AI12" s="6" t="s">
        <v>9</v>
      </c>
      <c r="AJ12" s="9"/>
      <c r="AK12" s="8" t="s">
        <v>58</v>
      </c>
      <c r="AL12" s="5">
        <f t="shared" si="3"/>
        <v>156</v>
      </c>
    </row>
    <row r="13" spans="1:38" ht="17.25" customHeight="1" x14ac:dyDescent="0.25">
      <c r="A13" s="85">
        <v>17835</v>
      </c>
      <c r="B13" s="52" t="s">
        <v>48</v>
      </c>
      <c r="C13" s="25" t="s">
        <v>18</v>
      </c>
      <c r="D13" s="25" t="s">
        <v>37</v>
      </c>
      <c r="E13" s="23">
        <v>36</v>
      </c>
      <c r="F13" s="4">
        <f t="shared" si="2"/>
        <v>13</v>
      </c>
      <c r="G13" s="111" t="s">
        <v>58</v>
      </c>
      <c r="H13" s="9"/>
      <c r="I13" s="7"/>
      <c r="J13" s="55" t="s">
        <v>9</v>
      </c>
      <c r="K13" s="9"/>
      <c r="L13" s="6" t="s">
        <v>58</v>
      </c>
      <c r="M13" s="9"/>
      <c r="N13" s="33" t="s">
        <v>9</v>
      </c>
      <c r="O13" s="36"/>
      <c r="P13" s="97"/>
      <c r="Q13" s="96" t="s">
        <v>9</v>
      </c>
      <c r="R13" s="9"/>
      <c r="S13" s="9"/>
      <c r="T13" s="33" t="s">
        <v>9</v>
      </c>
      <c r="U13" s="9"/>
      <c r="V13" s="6" t="s">
        <v>58</v>
      </c>
      <c r="W13" s="7"/>
      <c r="X13" s="7"/>
      <c r="Y13" s="6" t="s">
        <v>9</v>
      </c>
      <c r="Z13" s="9"/>
      <c r="AA13" s="6" t="s">
        <v>58</v>
      </c>
      <c r="AB13" s="9"/>
      <c r="AC13" s="9"/>
      <c r="AD13" s="96" t="s">
        <v>9</v>
      </c>
      <c r="AE13" s="97"/>
      <c r="AF13" s="33" t="s">
        <v>58</v>
      </c>
      <c r="AG13" s="9"/>
      <c r="AH13" s="9"/>
      <c r="AI13" s="6" t="s">
        <v>9</v>
      </c>
      <c r="AJ13" s="9"/>
      <c r="AK13" s="8" t="s">
        <v>58</v>
      </c>
      <c r="AL13" s="5">
        <f t="shared" si="3"/>
        <v>156</v>
      </c>
    </row>
    <row r="14" spans="1:38" ht="21" customHeight="1" x14ac:dyDescent="0.25">
      <c r="A14" s="85">
        <v>17847</v>
      </c>
      <c r="B14" s="52" t="s">
        <v>70</v>
      </c>
      <c r="C14" s="25" t="s">
        <v>18</v>
      </c>
      <c r="D14" s="25" t="s">
        <v>37</v>
      </c>
      <c r="E14" s="23">
        <v>36</v>
      </c>
      <c r="F14" s="4">
        <f t="shared" si="2"/>
        <v>13</v>
      </c>
      <c r="G14" s="112"/>
      <c r="H14" s="6" t="s">
        <v>9</v>
      </c>
      <c r="I14" s="7"/>
      <c r="J14" s="114" t="s">
        <v>8</v>
      </c>
      <c r="K14" s="9"/>
      <c r="L14" s="6" t="s">
        <v>58</v>
      </c>
      <c r="M14" s="9"/>
      <c r="N14" s="33"/>
      <c r="O14" s="37" t="s">
        <v>8</v>
      </c>
      <c r="P14" s="97"/>
      <c r="Q14" s="96" t="s">
        <v>9</v>
      </c>
      <c r="R14" s="9"/>
      <c r="S14" s="9"/>
      <c r="T14" s="37" t="s">
        <v>8</v>
      </c>
      <c r="U14" s="9"/>
      <c r="V14" s="6" t="s">
        <v>58</v>
      </c>
      <c r="W14" s="7"/>
      <c r="X14" s="7"/>
      <c r="Y14" s="6" t="s">
        <v>9</v>
      </c>
      <c r="Z14" s="9"/>
      <c r="AA14" s="6" t="s">
        <v>58</v>
      </c>
      <c r="AB14" s="9"/>
      <c r="AC14" s="9"/>
      <c r="AD14" s="96" t="s">
        <v>9</v>
      </c>
      <c r="AE14" s="97"/>
      <c r="AF14" s="33" t="s">
        <v>58</v>
      </c>
      <c r="AG14" s="9"/>
      <c r="AH14" s="9"/>
      <c r="AI14" s="10" t="s">
        <v>8</v>
      </c>
      <c r="AJ14" s="9"/>
      <c r="AK14" s="8" t="s">
        <v>9</v>
      </c>
      <c r="AL14" s="5">
        <f t="shared" si="3"/>
        <v>156</v>
      </c>
    </row>
    <row r="15" spans="1:38" ht="17.25" customHeight="1" x14ac:dyDescent="0.25">
      <c r="A15" s="83"/>
      <c r="B15" s="52" t="s">
        <v>49</v>
      </c>
      <c r="C15" s="25" t="s">
        <v>18</v>
      </c>
      <c r="D15" s="25" t="s">
        <v>37</v>
      </c>
      <c r="E15" s="23">
        <v>36</v>
      </c>
      <c r="F15" s="4">
        <f t="shared" si="2"/>
        <v>14</v>
      </c>
      <c r="G15" s="112"/>
      <c r="H15" s="6" t="s">
        <v>9</v>
      </c>
      <c r="I15" s="7"/>
      <c r="J15" s="55" t="s">
        <v>9</v>
      </c>
      <c r="K15" s="6" t="s">
        <v>9</v>
      </c>
      <c r="L15" s="9"/>
      <c r="M15" s="9"/>
      <c r="N15" s="33" t="s">
        <v>9</v>
      </c>
      <c r="O15" s="36"/>
      <c r="P15" s="97"/>
      <c r="Q15" s="96" t="s">
        <v>58</v>
      </c>
      <c r="R15" s="10" t="s">
        <v>8</v>
      </c>
      <c r="S15" s="9"/>
      <c r="T15" s="33" t="s">
        <v>9</v>
      </c>
      <c r="U15" s="9"/>
      <c r="V15" s="6" t="s">
        <v>58</v>
      </c>
      <c r="W15" s="7"/>
      <c r="X15" s="7"/>
      <c r="Y15" s="6" t="s">
        <v>9</v>
      </c>
      <c r="Z15" s="9"/>
      <c r="AA15" s="33" t="s">
        <v>58</v>
      </c>
      <c r="AB15" s="9"/>
      <c r="AC15" s="9"/>
      <c r="AD15" s="96" t="s">
        <v>58</v>
      </c>
      <c r="AE15" s="97"/>
      <c r="AF15" s="6" t="s">
        <v>58</v>
      </c>
      <c r="AG15" s="9"/>
      <c r="AH15" s="9"/>
      <c r="AI15" s="6" t="s">
        <v>9</v>
      </c>
      <c r="AJ15" s="9"/>
      <c r="AK15" s="8" t="s">
        <v>9</v>
      </c>
      <c r="AL15" s="5">
        <f t="shared" si="3"/>
        <v>168</v>
      </c>
    </row>
    <row r="16" spans="1:38" ht="17.25" customHeight="1" x14ac:dyDescent="0.25">
      <c r="A16" s="85">
        <v>17843</v>
      </c>
      <c r="B16" s="52" t="s">
        <v>71</v>
      </c>
      <c r="C16" s="25" t="s">
        <v>18</v>
      </c>
      <c r="D16" s="25" t="s">
        <v>37</v>
      </c>
      <c r="E16" s="23">
        <v>36</v>
      </c>
      <c r="F16" s="4">
        <f t="shared" si="2"/>
        <v>13</v>
      </c>
      <c r="G16" s="111" t="s">
        <v>58</v>
      </c>
      <c r="H16" s="9"/>
      <c r="I16" s="55" t="s">
        <v>89</v>
      </c>
      <c r="J16" s="55"/>
      <c r="K16" s="9"/>
      <c r="L16" s="10" t="s">
        <v>8</v>
      </c>
      <c r="M16" s="9"/>
      <c r="N16" s="33" t="s">
        <v>58</v>
      </c>
      <c r="O16" s="36"/>
      <c r="P16" s="97"/>
      <c r="Q16" s="96" t="s">
        <v>58</v>
      </c>
      <c r="R16" s="9"/>
      <c r="S16" s="10" t="s">
        <v>8</v>
      </c>
      <c r="T16" s="147"/>
      <c r="U16" s="36"/>
      <c r="V16" s="33" t="s">
        <v>9</v>
      </c>
      <c r="W16" s="7"/>
      <c r="X16" s="8" t="s">
        <v>58</v>
      </c>
      <c r="Y16" s="9"/>
      <c r="Z16" s="9"/>
      <c r="AA16" s="33" t="s">
        <v>9</v>
      </c>
      <c r="AB16" s="9"/>
      <c r="AC16" s="10" t="s">
        <v>8</v>
      </c>
      <c r="AD16" s="97"/>
      <c r="AE16" s="97"/>
      <c r="AF16" s="6" t="s">
        <v>9</v>
      </c>
      <c r="AG16" s="9"/>
      <c r="AH16" s="10" t="s">
        <v>8</v>
      </c>
      <c r="AI16" s="9"/>
      <c r="AJ16" s="6" t="s">
        <v>9</v>
      </c>
      <c r="AK16" s="7"/>
      <c r="AL16" s="5">
        <f t="shared" si="3"/>
        <v>156</v>
      </c>
    </row>
    <row r="17" spans="1:38" ht="17.25" customHeight="1" x14ac:dyDescent="0.25">
      <c r="A17" s="83"/>
      <c r="B17" s="52" t="s">
        <v>23</v>
      </c>
      <c r="C17" s="25" t="s">
        <v>18</v>
      </c>
      <c r="D17" s="25" t="s">
        <v>37</v>
      </c>
      <c r="E17" s="23">
        <v>36</v>
      </c>
      <c r="F17" s="4">
        <f t="shared" si="2"/>
        <v>13</v>
      </c>
      <c r="G17" s="112"/>
      <c r="H17" s="6" t="s">
        <v>9</v>
      </c>
      <c r="I17" s="7"/>
      <c r="J17" s="55" t="s">
        <v>9</v>
      </c>
      <c r="K17" s="9"/>
      <c r="L17" s="6" t="s">
        <v>9</v>
      </c>
      <c r="M17" s="9"/>
      <c r="N17" s="33" t="s">
        <v>9</v>
      </c>
      <c r="O17" s="36"/>
      <c r="P17" s="97"/>
      <c r="Q17" s="96" t="s">
        <v>58</v>
      </c>
      <c r="R17" s="9"/>
      <c r="S17" s="9"/>
      <c r="T17" s="33" t="s">
        <v>9</v>
      </c>
      <c r="U17" s="36"/>
      <c r="V17" s="33" t="s">
        <v>58</v>
      </c>
      <c r="W17" s="7"/>
      <c r="X17" s="7"/>
      <c r="Y17" s="6" t="s">
        <v>9</v>
      </c>
      <c r="Z17" s="9"/>
      <c r="AA17" s="33" t="s">
        <v>58</v>
      </c>
      <c r="AB17" s="9"/>
      <c r="AC17" s="9"/>
      <c r="AD17" s="96" t="s">
        <v>9</v>
      </c>
      <c r="AE17" s="97"/>
      <c r="AF17" s="6" t="s">
        <v>9</v>
      </c>
      <c r="AG17" s="9"/>
      <c r="AH17" s="9"/>
      <c r="AI17" s="6" t="s">
        <v>58</v>
      </c>
      <c r="AJ17" s="9"/>
      <c r="AK17" s="8" t="s">
        <v>9</v>
      </c>
      <c r="AL17" s="5">
        <f t="shared" si="3"/>
        <v>156</v>
      </c>
    </row>
    <row r="18" spans="1:38" ht="17.25" customHeight="1" x14ac:dyDescent="0.25">
      <c r="A18" s="85">
        <v>17825</v>
      </c>
      <c r="B18" s="52" t="s">
        <v>50</v>
      </c>
      <c r="C18" s="25" t="s">
        <v>18</v>
      </c>
      <c r="D18" s="25" t="s">
        <v>37</v>
      </c>
      <c r="E18" s="23">
        <v>36</v>
      </c>
      <c r="F18" s="4">
        <f t="shared" si="2"/>
        <v>13</v>
      </c>
      <c r="G18" s="111" t="s">
        <v>58</v>
      </c>
      <c r="H18" s="9"/>
      <c r="I18" s="7"/>
      <c r="J18" s="55" t="s">
        <v>89</v>
      </c>
      <c r="K18" s="9"/>
      <c r="L18" s="9"/>
      <c r="M18" s="6" t="s">
        <v>9</v>
      </c>
      <c r="N18" s="36"/>
      <c r="O18" s="33" t="s">
        <v>9</v>
      </c>
      <c r="P18" s="97"/>
      <c r="Q18" s="96" t="s">
        <v>58</v>
      </c>
      <c r="R18" s="9"/>
      <c r="S18" s="41" t="s">
        <v>9</v>
      </c>
      <c r="T18" s="33" t="s">
        <v>9</v>
      </c>
      <c r="U18" s="36"/>
      <c r="V18" s="33" t="s">
        <v>9</v>
      </c>
      <c r="W18" s="7"/>
      <c r="X18" s="8" t="s">
        <v>58</v>
      </c>
      <c r="Y18" s="9"/>
      <c r="Z18" s="9"/>
      <c r="AA18" s="33" t="s">
        <v>9</v>
      </c>
      <c r="AB18" s="9"/>
      <c r="AC18" s="6" t="s">
        <v>9</v>
      </c>
      <c r="AD18" s="97"/>
      <c r="AE18" s="97"/>
      <c r="AF18" s="6"/>
      <c r="AG18" s="9"/>
      <c r="AH18" s="6" t="s">
        <v>9</v>
      </c>
      <c r="AI18" s="9"/>
      <c r="AJ18" s="6" t="s">
        <v>9</v>
      </c>
      <c r="AK18" s="7"/>
      <c r="AL18" s="5">
        <f t="shared" si="3"/>
        <v>156</v>
      </c>
    </row>
    <row r="19" spans="1:38" ht="17.25" customHeight="1" x14ac:dyDescent="0.25">
      <c r="A19" s="85">
        <v>17867</v>
      </c>
      <c r="B19" s="52" t="s">
        <v>51</v>
      </c>
      <c r="C19" s="25" t="s">
        <v>18</v>
      </c>
      <c r="D19" s="25" t="s">
        <v>37</v>
      </c>
      <c r="E19" s="23">
        <v>36</v>
      </c>
      <c r="F19" s="4">
        <f t="shared" si="2"/>
        <v>13</v>
      </c>
      <c r="G19" s="112"/>
      <c r="H19" s="6" t="s">
        <v>58</v>
      </c>
      <c r="I19" s="7"/>
      <c r="J19" s="7"/>
      <c r="K19" s="6" t="s">
        <v>9</v>
      </c>
      <c r="L19" s="9"/>
      <c r="M19" s="6" t="s">
        <v>58</v>
      </c>
      <c r="N19" s="36"/>
      <c r="O19" s="36"/>
      <c r="P19" s="96" t="s">
        <v>9</v>
      </c>
      <c r="Q19" s="97"/>
      <c r="R19" s="6" t="s">
        <v>58</v>
      </c>
      <c r="S19" s="9"/>
      <c r="T19" s="36"/>
      <c r="U19" s="33" t="s">
        <v>9</v>
      </c>
      <c r="V19" s="36"/>
      <c r="W19" s="8" t="s">
        <v>58</v>
      </c>
      <c r="X19" s="7"/>
      <c r="Y19" s="36"/>
      <c r="Z19" s="33" t="s">
        <v>9</v>
      </c>
      <c r="AA19" s="36"/>
      <c r="AB19" s="33" t="s">
        <v>58</v>
      </c>
      <c r="AC19" s="36"/>
      <c r="AD19" s="97"/>
      <c r="AE19" s="96" t="s">
        <v>58</v>
      </c>
      <c r="AF19" s="9"/>
      <c r="AG19" s="6" t="s">
        <v>9</v>
      </c>
      <c r="AH19" s="9"/>
      <c r="AI19" s="33" t="s">
        <v>9</v>
      </c>
      <c r="AJ19" s="9"/>
      <c r="AK19" s="8" t="s">
        <v>9</v>
      </c>
      <c r="AL19" s="5">
        <f t="shared" si="3"/>
        <v>156</v>
      </c>
    </row>
    <row r="20" spans="1:38" ht="17.25" customHeight="1" x14ac:dyDescent="0.25">
      <c r="A20" s="85">
        <v>17866</v>
      </c>
      <c r="B20" s="52" t="s">
        <v>52</v>
      </c>
      <c r="C20" s="25" t="s">
        <v>18</v>
      </c>
      <c r="D20" s="25" t="s">
        <v>37</v>
      </c>
      <c r="E20" s="23">
        <v>36</v>
      </c>
      <c r="F20" s="4">
        <f t="shared" si="2"/>
        <v>13</v>
      </c>
      <c r="G20" s="111" t="s">
        <v>58</v>
      </c>
      <c r="H20" s="9"/>
      <c r="I20" s="115"/>
      <c r="J20" s="7"/>
      <c r="K20" s="9"/>
      <c r="L20" s="6" t="s">
        <v>9</v>
      </c>
      <c r="M20" s="9"/>
      <c r="N20" s="33" t="s">
        <v>58</v>
      </c>
      <c r="O20" s="37" t="s">
        <v>8</v>
      </c>
      <c r="P20" s="97"/>
      <c r="Q20" s="96" t="s">
        <v>9</v>
      </c>
      <c r="R20" s="9"/>
      <c r="S20" s="6" t="s">
        <v>58</v>
      </c>
      <c r="T20" s="36"/>
      <c r="U20" s="36"/>
      <c r="V20" s="37" t="s">
        <v>8</v>
      </c>
      <c r="W20" s="7"/>
      <c r="X20" s="8" t="s">
        <v>58</v>
      </c>
      <c r="Y20" s="36"/>
      <c r="Z20" s="36"/>
      <c r="AA20" s="37" t="s">
        <v>8</v>
      </c>
      <c r="AB20" s="36"/>
      <c r="AC20" s="33" t="s">
        <v>9</v>
      </c>
      <c r="AD20" s="97"/>
      <c r="AE20" s="97"/>
      <c r="AF20" s="6" t="s">
        <v>9</v>
      </c>
      <c r="AG20" s="9"/>
      <c r="AH20" s="6" t="s">
        <v>9</v>
      </c>
      <c r="AI20" s="36"/>
      <c r="AJ20" s="6" t="s">
        <v>9</v>
      </c>
      <c r="AK20" s="7"/>
      <c r="AL20" s="5">
        <f t="shared" si="3"/>
        <v>156</v>
      </c>
    </row>
    <row r="21" spans="1:38" ht="17.25" customHeight="1" x14ac:dyDescent="0.25">
      <c r="A21" s="83"/>
      <c r="B21" s="52" t="s">
        <v>53</v>
      </c>
      <c r="C21" s="25" t="s">
        <v>18</v>
      </c>
      <c r="D21" s="25" t="s">
        <v>37</v>
      </c>
      <c r="E21" s="23">
        <v>36</v>
      </c>
      <c r="F21" s="4">
        <f t="shared" si="2"/>
        <v>13</v>
      </c>
      <c r="G21" s="112"/>
      <c r="H21" s="6" t="s">
        <v>9</v>
      </c>
      <c r="I21" s="7"/>
      <c r="J21" s="55" t="s">
        <v>89</v>
      </c>
      <c r="K21" s="9"/>
      <c r="L21" s="6" t="s">
        <v>58</v>
      </c>
      <c r="M21" s="9"/>
      <c r="N21" s="36"/>
      <c r="O21" s="33" t="s">
        <v>9</v>
      </c>
      <c r="P21" s="97"/>
      <c r="Q21" s="96" t="s">
        <v>9</v>
      </c>
      <c r="R21" s="33" t="s">
        <v>58</v>
      </c>
      <c r="S21" s="9"/>
      <c r="T21" s="36"/>
      <c r="U21" s="33" t="s">
        <v>9</v>
      </c>
      <c r="V21" s="36"/>
      <c r="W21" s="8" t="s">
        <v>58</v>
      </c>
      <c r="X21" s="7"/>
      <c r="Y21" s="36"/>
      <c r="Z21" s="33" t="s">
        <v>9</v>
      </c>
      <c r="AA21" s="36"/>
      <c r="AB21" s="33" t="s">
        <v>58</v>
      </c>
      <c r="AC21" s="36"/>
      <c r="AD21" s="97"/>
      <c r="AE21" s="96" t="s">
        <v>9</v>
      </c>
      <c r="AF21" s="9"/>
      <c r="AG21" s="6" t="s">
        <v>58</v>
      </c>
      <c r="AH21" s="9"/>
      <c r="AI21" s="36"/>
      <c r="AJ21" s="6" t="s">
        <v>58</v>
      </c>
      <c r="AK21" s="7"/>
      <c r="AL21" s="5">
        <f t="shared" si="3"/>
        <v>156</v>
      </c>
    </row>
    <row r="22" spans="1:38" ht="17.25" customHeight="1" x14ac:dyDescent="0.25">
      <c r="A22" s="83"/>
      <c r="B22" s="52" t="s">
        <v>55</v>
      </c>
      <c r="C22" s="25" t="s">
        <v>18</v>
      </c>
      <c r="D22" s="25" t="s">
        <v>37</v>
      </c>
      <c r="E22" s="23">
        <v>36</v>
      </c>
      <c r="F22" s="4">
        <f t="shared" si="2"/>
        <v>13</v>
      </c>
      <c r="G22" s="111" t="s">
        <v>7</v>
      </c>
      <c r="H22" s="9"/>
      <c r="I22" s="7"/>
      <c r="J22" s="55" t="s">
        <v>9</v>
      </c>
      <c r="K22" s="9"/>
      <c r="L22" s="6" t="s">
        <v>9</v>
      </c>
      <c r="M22" s="9"/>
      <c r="N22" s="6" t="s">
        <v>58</v>
      </c>
      <c r="O22" s="9"/>
      <c r="P22" s="97"/>
      <c r="Q22" s="96" t="s">
        <v>58</v>
      </c>
      <c r="R22" s="36"/>
      <c r="S22" s="6" t="s">
        <v>9</v>
      </c>
      <c r="T22" s="36"/>
      <c r="U22" s="33" t="s">
        <v>58</v>
      </c>
      <c r="V22" s="36"/>
      <c r="W22" s="7"/>
      <c r="X22" s="39" t="s">
        <v>8</v>
      </c>
      <c r="Y22" s="36"/>
      <c r="Z22" s="33" t="s">
        <v>58</v>
      </c>
      <c r="AA22" s="36"/>
      <c r="AB22" s="36"/>
      <c r="AC22" s="37" t="s">
        <v>8</v>
      </c>
      <c r="AD22" s="96"/>
      <c r="AE22" s="97"/>
      <c r="AF22" s="41" t="s">
        <v>9</v>
      </c>
      <c r="AG22" s="6" t="s">
        <v>9</v>
      </c>
      <c r="AH22" s="9"/>
      <c r="AI22" s="40" t="s">
        <v>9</v>
      </c>
      <c r="AJ22" s="10" t="s">
        <v>8</v>
      </c>
      <c r="AK22" s="7"/>
      <c r="AL22" s="5">
        <f t="shared" si="3"/>
        <v>156</v>
      </c>
    </row>
    <row r="23" spans="1:38" ht="17.25" customHeight="1" x14ac:dyDescent="0.25">
      <c r="A23" s="86"/>
      <c r="B23" s="52" t="s">
        <v>56</v>
      </c>
      <c r="C23" s="25" t="s">
        <v>18</v>
      </c>
      <c r="D23" s="25" t="s">
        <v>37</v>
      </c>
      <c r="E23" s="23">
        <v>36</v>
      </c>
      <c r="F23" s="4">
        <f t="shared" si="2"/>
        <v>11</v>
      </c>
      <c r="G23" s="111" t="s">
        <v>7</v>
      </c>
      <c r="H23" s="9"/>
      <c r="I23" s="7"/>
      <c r="J23" s="55" t="s">
        <v>9</v>
      </c>
      <c r="K23" s="9"/>
      <c r="L23" s="6" t="s">
        <v>9</v>
      </c>
      <c r="M23" s="9"/>
      <c r="N23" s="6" t="s">
        <v>58</v>
      </c>
      <c r="O23" s="9"/>
      <c r="P23" s="97"/>
      <c r="Q23" s="96" t="s">
        <v>58</v>
      </c>
      <c r="R23" s="36"/>
      <c r="S23" s="6" t="s">
        <v>58</v>
      </c>
      <c r="T23" s="36"/>
      <c r="U23" s="36"/>
      <c r="V23" s="40" t="s">
        <v>9</v>
      </c>
      <c r="W23" s="7"/>
      <c r="X23" s="8" t="s">
        <v>58</v>
      </c>
      <c r="Y23" s="36"/>
      <c r="Z23" s="36"/>
      <c r="AA23" s="40" t="s">
        <v>58</v>
      </c>
      <c r="AB23" s="36"/>
      <c r="AC23" s="40" t="s">
        <v>58</v>
      </c>
      <c r="AD23" s="97"/>
      <c r="AE23" s="97"/>
      <c r="AF23" s="6" t="s">
        <v>9</v>
      </c>
      <c r="AG23" s="9"/>
      <c r="AH23" s="6" t="s">
        <v>58</v>
      </c>
      <c r="AI23" s="36"/>
      <c r="AJ23" s="9"/>
      <c r="AK23" s="7"/>
      <c r="AL23" s="5">
        <f t="shared" si="3"/>
        <v>132</v>
      </c>
    </row>
    <row r="24" spans="1:38" ht="20.25" customHeight="1" x14ac:dyDescent="0.25">
      <c r="A24" s="86"/>
      <c r="B24" s="52" t="s">
        <v>57</v>
      </c>
      <c r="C24" s="25" t="s">
        <v>18</v>
      </c>
      <c r="D24" s="25" t="s">
        <v>37</v>
      </c>
      <c r="E24" s="23">
        <v>36</v>
      </c>
      <c r="F24" s="4">
        <f t="shared" si="2"/>
        <v>13</v>
      </c>
      <c r="G24" s="112"/>
      <c r="H24" s="9"/>
      <c r="I24" s="114" t="s">
        <v>8</v>
      </c>
      <c r="J24" s="7"/>
      <c r="K24" s="6" t="s">
        <v>9</v>
      </c>
      <c r="L24" s="9"/>
      <c r="M24" s="6" t="s">
        <v>58</v>
      </c>
      <c r="N24" s="9"/>
      <c r="O24" s="9"/>
      <c r="P24" s="96" t="s">
        <v>9</v>
      </c>
      <c r="Q24" s="97"/>
      <c r="R24" s="33" t="s">
        <v>58</v>
      </c>
      <c r="S24" s="9"/>
      <c r="T24" s="40" t="s">
        <v>9</v>
      </c>
      <c r="U24" s="36"/>
      <c r="V24" s="40" t="s">
        <v>58</v>
      </c>
      <c r="W24" s="7"/>
      <c r="X24" s="7"/>
      <c r="Y24" s="153" t="s">
        <v>8</v>
      </c>
      <c r="Z24" s="36"/>
      <c r="AA24" s="40" t="s">
        <v>58</v>
      </c>
      <c r="AB24" s="36"/>
      <c r="AC24" s="40" t="s">
        <v>58</v>
      </c>
      <c r="AD24" s="97"/>
      <c r="AE24" s="96" t="s">
        <v>58</v>
      </c>
      <c r="AF24" s="9"/>
      <c r="AG24" s="6" t="s">
        <v>9</v>
      </c>
      <c r="AH24" s="9"/>
      <c r="AI24" s="33" t="s">
        <v>58</v>
      </c>
      <c r="AJ24" s="9"/>
      <c r="AK24" s="7"/>
      <c r="AL24" s="5">
        <f t="shared" si="3"/>
        <v>156</v>
      </c>
    </row>
    <row r="25" spans="1:38" ht="17.25" customHeight="1" x14ac:dyDescent="0.25">
      <c r="A25" s="86"/>
      <c r="B25" s="109" t="s">
        <v>38</v>
      </c>
      <c r="C25" s="3" t="s">
        <v>39</v>
      </c>
      <c r="D25" s="25" t="s">
        <v>37</v>
      </c>
      <c r="E25" s="3">
        <v>36</v>
      </c>
      <c r="F25" s="4">
        <v>13</v>
      </c>
      <c r="G25" s="101" t="s">
        <v>9</v>
      </c>
      <c r="H25" s="29"/>
      <c r="I25" s="116" t="s">
        <v>8</v>
      </c>
      <c r="J25" s="116"/>
      <c r="K25" s="51"/>
      <c r="L25" s="29" t="s">
        <v>9</v>
      </c>
      <c r="M25" s="29"/>
      <c r="N25" s="51" t="s">
        <v>8</v>
      </c>
      <c r="O25" s="51"/>
      <c r="P25" s="100"/>
      <c r="Q25" s="31" t="s">
        <v>9</v>
      </c>
      <c r="R25" s="29"/>
      <c r="S25" s="146" t="s">
        <v>8</v>
      </c>
      <c r="T25" s="29"/>
      <c r="U25" s="29"/>
      <c r="V25" s="29" t="s">
        <v>9</v>
      </c>
      <c r="W25" s="31"/>
      <c r="X25" s="31" t="s">
        <v>8</v>
      </c>
      <c r="Y25" s="51"/>
      <c r="Z25" s="29"/>
      <c r="AA25" s="29" t="s">
        <v>9</v>
      </c>
      <c r="AB25" s="29"/>
      <c r="AC25" s="29" t="s">
        <v>9</v>
      </c>
      <c r="AD25" s="31"/>
      <c r="AE25" s="31"/>
      <c r="AF25" s="29" t="s">
        <v>9</v>
      </c>
      <c r="AG25" s="29"/>
      <c r="AH25" s="51" t="s">
        <v>8</v>
      </c>
      <c r="AI25" s="51"/>
      <c r="AJ25" s="29" t="s">
        <v>9</v>
      </c>
      <c r="AK25" s="31"/>
      <c r="AL25" s="5">
        <v>156</v>
      </c>
    </row>
    <row r="26" spans="1:38" ht="17.25" customHeight="1" x14ac:dyDescent="0.25">
      <c r="A26" s="86"/>
      <c r="B26" s="109" t="s">
        <v>40</v>
      </c>
      <c r="C26" s="3" t="s">
        <v>39</v>
      </c>
      <c r="D26" s="25" t="s">
        <v>37</v>
      </c>
      <c r="E26" s="3">
        <v>36</v>
      </c>
      <c r="F26" s="4">
        <f t="shared" si="2"/>
        <v>12</v>
      </c>
      <c r="G26" s="101"/>
      <c r="H26" s="29" t="s">
        <v>9</v>
      </c>
      <c r="I26" s="116"/>
      <c r="J26" s="116" t="s">
        <v>8</v>
      </c>
      <c r="K26" s="51"/>
      <c r="L26" s="29"/>
      <c r="M26" s="29" t="s">
        <v>9</v>
      </c>
      <c r="N26" s="51"/>
      <c r="O26" s="51" t="s">
        <v>8</v>
      </c>
      <c r="P26" s="100"/>
      <c r="Q26" s="31"/>
      <c r="R26" s="29" t="s">
        <v>9</v>
      </c>
      <c r="S26" s="3"/>
      <c r="T26" s="51" t="s">
        <v>8</v>
      </c>
      <c r="U26" s="29"/>
      <c r="V26" s="29"/>
      <c r="W26" s="31" t="s">
        <v>9</v>
      </c>
      <c r="X26" s="31"/>
      <c r="Y26" s="51" t="s">
        <v>8</v>
      </c>
      <c r="Z26" s="29"/>
      <c r="AA26" s="29"/>
      <c r="AB26" s="29" t="s">
        <v>9</v>
      </c>
      <c r="AC26" s="29"/>
      <c r="AD26" s="100" t="s">
        <v>8</v>
      </c>
      <c r="AE26" s="100"/>
      <c r="AF26" s="29"/>
      <c r="AG26" s="29" t="s">
        <v>9</v>
      </c>
      <c r="AH26" s="51"/>
      <c r="AI26" s="51" t="s">
        <v>8</v>
      </c>
      <c r="AJ26" s="29"/>
      <c r="AK26" s="31"/>
      <c r="AL26" s="5">
        <f t="shared" si="3"/>
        <v>144</v>
      </c>
    </row>
    <row r="27" spans="1:38" ht="17.25" customHeight="1" x14ac:dyDescent="0.25">
      <c r="A27" s="86"/>
      <c r="B27" s="109" t="s">
        <v>72</v>
      </c>
      <c r="C27" s="3" t="s">
        <v>39</v>
      </c>
      <c r="D27" s="25" t="s">
        <v>37</v>
      </c>
      <c r="E27" s="3">
        <v>36</v>
      </c>
      <c r="F27" s="4">
        <f t="shared" si="2"/>
        <v>12</v>
      </c>
      <c r="G27" s="101"/>
      <c r="H27" s="119" t="s">
        <v>8</v>
      </c>
      <c r="I27" s="121"/>
      <c r="J27" s="121"/>
      <c r="K27" s="119" t="s">
        <v>8</v>
      </c>
      <c r="L27" s="120"/>
      <c r="M27" s="120"/>
      <c r="N27" s="120" t="s">
        <v>9</v>
      </c>
      <c r="O27" s="120"/>
      <c r="P27" s="121" t="s">
        <v>8</v>
      </c>
      <c r="Q27" s="122"/>
      <c r="R27" s="120"/>
      <c r="S27" s="123" t="s">
        <v>9</v>
      </c>
      <c r="T27" s="120"/>
      <c r="U27" s="119" t="s">
        <v>8</v>
      </c>
      <c r="V27" s="120"/>
      <c r="W27" s="122"/>
      <c r="X27" s="122" t="s">
        <v>9</v>
      </c>
      <c r="Y27" s="120"/>
      <c r="Z27" s="119" t="s">
        <v>8</v>
      </c>
      <c r="AA27" s="120"/>
      <c r="AB27" s="120"/>
      <c r="AC27" s="120" t="s">
        <v>9</v>
      </c>
      <c r="AD27" s="121"/>
      <c r="AE27" s="121" t="s">
        <v>8</v>
      </c>
      <c r="AF27" s="120"/>
      <c r="AG27" s="120"/>
      <c r="AH27" s="120" t="s">
        <v>9</v>
      </c>
      <c r="AI27" s="120"/>
      <c r="AJ27" s="119" t="s">
        <v>8</v>
      </c>
      <c r="AK27" s="122"/>
      <c r="AL27" s="125">
        <f t="shared" si="3"/>
        <v>144</v>
      </c>
    </row>
    <row r="28" spans="1:38" ht="18" customHeight="1" x14ac:dyDescent="0.25">
      <c r="A28" s="26"/>
      <c r="B28" s="109" t="s">
        <v>84</v>
      </c>
      <c r="C28" s="3" t="s">
        <v>39</v>
      </c>
      <c r="D28" s="25" t="s">
        <v>37</v>
      </c>
      <c r="E28" s="3">
        <v>36</v>
      </c>
      <c r="F28" s="4">
        <f t="shared" si="2"/>
        <v>12</v>
      </c>
      <c r="G28" s="101"/>
      <c r="H28" s="119" t="s">
        <v>8</v>
      </c>
      <c r="I28" s="122"/>
      <c r="J28" s="122"/>
      <c r="K28" s="120" t="s">
        <v>9</v>
      </c>
      <c r="L28" s="120"/>
      <c r="M28" s="119" t="s">
        <v>8</v>
      </c>
      <c r="N28" s="120"/>
      <c r="O28" s="120"/>
      <c r="P28" s="122" t="s">
        <v>9</v>
      </c>
      <c r="Q28" s="122"/>
      <c r="R28" s="119" t="s">
        <v>8</v>
      </c>
      <c r="S28" s="123"/>
      <c r="T28" s="120"/>
      <c r="U28" s="120" t="s">
        <v>9</v>
      </c>
      <c r="V28" s="120"/>
      <c r="W28" s="121" t="s">
        <v>8</v>
      </c>
      <c r="X28" s="122"/>
      <c r="Y28" s="120"/>
      <c r="Z28" s="120" t="s">
        <v>9</v>
      </c>
      <c r="AA28" s="120"/>
      <c r="AB28" s="119" t="s">
        <v>8</v>
      </c>
      <c r="AC28" s="120"/>
      <c r="AD28" s="122"/>
      <c r="AE28" s="122" t="s">
        <v>9</v>
      </c>
      <c r="AF28" s="124"/>
      <c r="AG28" s="119" t="s">
        <v>8</v>
      </c>
      <c r="AH28" s="120"/>
      <c r="AI28" s="120"/>
      <c r="AJ28" s="120" t="s">
        <v>9</v>
      </c>
      <c r="AK28" s="122"/>
      <c r="AL28" s="125">
        <f t="shared" si="3"/>
        <v>144</v>
      </c>
    </row>
    <row r="29" spans="1:38" ht="18.75" customHeight="1" x14ac:dyDescent="0.3">
      <c r="A29" s="27"/>
      <c r="B29" s="110" t="s">
        <v>87</v>
      </c>
      <c r="C29" s="3" t="s">
        <v>39</v>
      </c>
      <c r="D29" s="25" t="s">
        <v>37</v>
      </c>
      <c r="E29" s="3">
        <v>36</v>
      </c>
      <c r="F29" s="4">
        <f t="shared" si="2"/>
        <v>11</v>
      </c>
      <c r="G29" s="113"/>
      <c r="H29" s="126"/>
      <c r="I29" s="136"/>
      <c r="J29" s="137"/>
      <c r="K29" s="138"/>
      <c r="L29" s="127"/>
      <c r="M29" s="127" t="s">
        <v>88</v>
      </c>
      <c r="N29" s="139"/>
      <c r="O29" s="127" t="s">
        <v>9</v>
      </c>
      <c r="P29" s="128"/>
      <c r="Q29" s="129" t="s">
        <v>8</v>
      </c>
      <c r="R29" s="130"/>
      <c r="S29" s="127"/>
      <c r="T29" s="145" t="s">
        <v>9</v>
      </c>
      <c r="U29" s="127"/>
      <c r="V29" s="131" t="s">
        <v>8</v>
      </c>
      <c r="W29" s="132"/>
      <c r="X29" s="133"/>
      <c r="Y29" s="127" t="s">
        <v>9</v>
      </c>
      <c r="Z29" s="130"/>
      <c r="AA29" s="131" t="s">
        <v>8</v>
      </c>
      <c r="AB29" s="127"/>
      <c r="AC29" s="130"/>
      <c r="AD29" s="133" t="s">
        <v>9</v>
      </c>
      <c r="AE29" s="133"/>
      <c r="AF29" s="134" t="s">
        <v>8</v>
      </c>
      <c r="AG29" s="130"/>
      <c r="AH29" s="127"/>
      <c r="AI29" s="130" t="s">
        <v>9</v>
      </c>
      <c r="AJ29" s="130"/>
      <c r="AK29" s="135" t="s">
        <v>8</v>
      </c>
      <c r="AL29" s="125">
        <f t="shared" si="3"/>
        <v>128</v>
      </c>
    </row>
    <row r="30" spans="1:38" ht="16.5" customHeight="1" x14ac:dyDescent="0.3">
      <c r="A30" s="148">
        <v>12875</v>
      </c>
      <c r="B30" s="117" t="s">
        <v>90</v>
      </c>
      <c r="C30" s="3" t="s">
        <v>39</v>
      </c>
      <c r="D30" s="25" t="s">
        <v>37</v>
      </c>
      <c r="E30" s="3">
        <v>36</v>
      </c>
      <c r="F30" s="4">
        <f t="shared" si="2"/>
        <v>10</v>
      </c>
      <c r="G30" s="118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2" t="s">
        <v>9</v>
      </c>
      <c r="T30" s="140"/>
      <c r="U30" s="143" t="s">
        <v>8</v>
      </c>
      <c r="V30" s="140"/>
      <c r="W30" s="141"/>
      <c r="X30" s="141" t="s">
        <v>9</v>
      </c>
      <c r="Y30" s="140"/>
      <c r="Z30" s="143" t="s">
        <v>8</v>
      </c>
      <c r="AA30" s="140"/>
      <c r="AB30" s="140" t="s">
        <v>9</v>
      </c>
      <c r="AC30" s="140" t="s">
        <v>9</v>
      </c>
      <c r="AD30" s="141"/>
      <c r="AE30" s="144" t="s">
        <v>8</v>
      </c>
      <c r="AF30" s="140"/>
      <c r="AG30" s="140" t="s">
        <v>9</v>
      </c>
      <c r="AH30" s="140" t="s">
        <v>9</v>
      </c>
      <c r="AI30" s="140"/>
      <c r="AJ30" s="143" t="s">
        <v>8</v>
      </c>
      <c r="AK30" s="141"/>
      <c r="AL30" s="125">
        <f t="shared" si="3"/>
        <v>120</v>
      </c>
    </row>
    <row r="31" spans="1:38" ht="17.25" customHeight="1" x14ac:dyDescent="0.3">
      <c r="A31" s="148"/>
      <c r="B31" s="117" t="s">
        <v>93</v>
      </c>
      <c r="C31" s="3" t="s">
        <v>39</v>
      </c>
      <c r="D31" s="25" t="s">
        <v>94</v>
      </c>
      <c r="E31" s="3">
        <v>36</v>
      </c>
      <c r="F31" s="4">
        <v>8</v>
      </c>
      <c r="G31" s="118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0"/>
      <c r="U31" s="150" t="s">
        <v>9</v>
      </c>
      <c r="V31" s="140"/>
      <c r="W31" s="141" t="s">
        <v>88</v>
      </c>
      <c r="X31" s="141" t="s">
        <v>88</v>
      </c>
      <c r="Y31" s="143" t="s">
        <v>8</v>
      </c>
      <c r="Z31" s="143"/>
      <c r="AA31" s="140"/>
      <c r="AB31" s="140" t="s">
        <v>9</v>
      </c>
      <c r="AC31" s="140"/>
      <c r="AD31" s="144" t="s">
        <v>8</v>
      </c>
      <c r="AE31" s="144"/>
      <c r="AF31" s="140"/>
      <c r="AG31" s="140" t="s">
        <v>9</v>
      </c>
      <c r="AH31" s="140"/>
      <c r="AI31" s="143" t="s">
        <v>8</v>
      </c>
      <c r="AJ31" s="143"/>
      <c r="AK31" s="141"/>
      <c r="AL31" s="125">
        <f t="shared" si="3"/>
        <v>88</v>
      </c>
    </row>
    <row r="32" spans="1:38" ht="13.8" x14ac:dyDescent="0.25">
      <c r="A32" s="28"/>
      <c r="B32" s="28"/>
      <c r="C32" s="28"/>
      <c r="D32" s="28"/>
      <c r="E32" s="28"/>
      <c r="F32" s="28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0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25">
        <f t="shared" si="3"/>
        <v>0</v>
      </c>
    </row>
    <row r="33" spans="1:38" ht="48" x14ac:dyDescent="0.25">
      <c r="A33" s="21"/>
      <c r="B33" s="532" t="s">
        <v>0</v>
      </c>
      <c r="C33" s="532"/>
      <c r="D33" s="554" t="s">
        <v>1</v>
      </c>
      <c r="E33" s="554"/>
      <c r="F33" s="554"/>
      <c r="G33" s="554"/>
      <c r="H33" s="554"/>
      <c r="I33" s="554"/>
      <c r="J33" s="554"/>
      <c r="K33" s="554"/>
      <c r="L33" s="554"/>
      <c r="M33" s="555"/>
      <c r="N33" s="533" t="s">
        <v>60</v>
      </c>
      <c r="O33" s="534"/>
      <c r="P33" s="534"/>
      <c r="Q33" s="534"/>
      <c r="R33" s="534"/>
      <c r="S33" s="534"/>
      <c r="T33" s="534"/>
      <c r="U33" s="534"/>
      <c r="V33" s="534"/>
      <c r="W33" s="534"/>
      <c r="X33" s="535"/>
      <c r="Y33" s="32" t="s">
        <v>61</v>
      </c>
      <c r="Z33" s="534" t="s">
        <v>62</v>
      </c>
      <c r="AA33" s="534"/>
      <c r="AB33" s="534"/>
      <c r="AC33" s="534"/>
      <c r="AD33" s="534"/>
      <c r="AE33" s="534"/>
      <c r="AF33" s="534"/>
      <c r="AG33" s="534"/>
      <c r="AH33" s="534"/>
      <c r="AI33" s="534"/>
      <c r="AJ33" s="534"/>
      <c r="AK33" s="535"/>
      <c r="AL33" s="2"/>
    </row>
  </sheetData>
  <protectedRanges>
    <protectedRange sqref="AA29 AH29:AJ29" name="Range1_5_2_1_1_1_3_3"/>
  </protectedRanges>
  <mergeCells count="10">
    <mergeCell ref="B33:C33"/>
    <mergeCell ref="N33:X33"/>
    <mergeCell ref="Z33:AK33"/>
    <mergeCell ref="A1:B1"/>
    <mergeCell ref="C1:AG1"/>
    <mergeCell ref="AH1:AL1"/>
    <mergeCell ref="A2:A3"/>
    <mergeCell ref="B2:E3"/>
    <mergeCell ref="G2:AL2"/>
    <mergeCell ref="D33:M33"/>
  </mergeCells>
  <phoneticPr fontId="45" type="noConversion"/>
  <pageMargins left="0.25" right="0.25" top="0.75" bottom="0.75" header="0.3" footer="0.3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5"/>
  <sheetViews>
    <sheetView topLeftCell="A2" zoomScale="98" zoomScaleNormal="98" workbookViewId="0">
      <pane ySplit="4" topLeftCell="A12" activePane="bottomLeft" state="frozen"/>
      <selection activeCell="A2" sqref="A2"/>
      <selection pane="bottomLeft" activeCell="B35" sqref="B35:M35"/>
    </sheetView>
  </sheetViews>
  <sheetFormatPr defaultRowHeight="13.2" x14ac:dyDescent="0.25"/>
  <cols>
    <col min="1" max="1" width="11.109375" customWidth="1"/>
    <col min="2" max="2" width="27" customWidth="1"/>
    <col min="3" max="3" width="12.44140625" customWidth="1"/>
    <col min="4" max="4" width="6.6640625" style="77" customWidth="1"/>
    <col min="5" max="5" width="3.77734375" style="79" customWidth="1"/>
    <col min="6" max="6" width="6" bestFit="1" customWidth="1"/>
    <col min="7" max="23" width="4.33203125" customWidth="1"/>
    <col min="24" max="24" width="5.33203125" customWidth="1"/>
    <col min="25" max="30" width="4.33203125" customWidth="1"/>
    <col min="31" max="31" width="5.6640625" customWidth="1"/>
    <col min="32" max="37" width="4.33203125" customWidth="1"/>
    <col min="38" max="38" width="6.33203125" customWidth="1"/>
  </cols>
  <sheetData>
    <row r="1" spans="1:38" ht="32.25" customHeight="1" x14ac:dyDescent="0.25">
      <c r="A1" s="67"/>
      <c r="B1" s="67"/>
      <c r="C1" s="559" t="s">
        <v>69</v>
      </c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0"/>
      <c r="AA1" s="560"/>
      <c r="AB1" s="560"/>
      <c r="AC1" s="560"/>
      <c r="AD1" s="560"/>
      <c r="AE1" s="560"/>
      <c r="AF1" s="560"/>
      <c r="AG1" s="561"/>
      <c r="AH1" s="562" t="s">
        <v>64</v>
      </c>
      <c r="AI1" s="563"/>
      <c r="AJ1" s="563"/>
      <c r="AK1" s="563"/>
      <c r="AL1" s="564"/>
    </row>
    <row r="2" spans="1:38" ht="12" customHeight="1" x14ac:dyDescent="0.2">
      <c r="A2" s="565" t="s">
        <v>12</v>
      </c>
      <c r="B2" s="567" t="s">
        <v>13</v>
      </c>
      <c r="C2" s="568"/>
      <c r="D2" s="568"/>
      <c r="E2" s="569"/>
      <c r="F2" s="68"/>
      <c r="G2" s="573"/>
      <c r="H2" s="574"/>
      <c r="I2" s="574"/>
      <c r="J2" s="575"/>
      <c r="K2" s="573"/>
      <c r="L2" s="574"/>
      <c r="M2" s="574"/>
      <c r="N2" s="574"/>
      <c r="O2" s="575"/>
      <c r="P2" s="68"/>
      <c r="Q2" s="68"/>
      <c r="R2" s="68"/>
      <c r="S2" s="68"/>
      <c r="T2" s="576" t="s">
        <v>14</v>
      </c>
      <c r="U2" s="577"/>
      <c r="V2" s="578"/>
      <c r="W2" s="562" t="s">
        <v>15</v>
      </c>
      <c r="X2" s="563"/>
      <c r="Y2" s="563"/>
      <c r="Z2" s="563"/>
      <c r="AA2" s="563"/>
      <c r="AB2" s="563"/>
      <c r="AC2" s="563"/>
      <c r="AD2" s="563"/>
      <c r="AE2" s="563"/>
      <c r="AF2" s="563"/>
      <c r="AG2" s="563"/>
      <c r="AH2" s="563"/>
      <c r="AI2" s="563"/>
      <c r="AJ2" s="563"/>
      <c r="AK2" s="564"/>
      <c r="AL2" s="68"/>
    </row>
    <row r="3" spans="1:38" ht="0.75" customHeight="1" x14ac:dyDescent="0.2">
      <c r="A3" s="566"/>
      <c r="B3" s="570"/>
      <c r="C3" s="571"/>
      <c r="D3" s="571"/>
      <c r="E3" s="572"/>
      <c r="F3" s="68"/>
      <c r="G3" s="81" t="str">
        <f>UPPER(TEXT(G5,"DDD"))</f>
        <v>QUI</v>
      </c>
      <c r="H3" s="81" t="str">
        <f t="shared" ref="H3:AK3" si="0">UPPER(TEXT(H5,"DDD"))</f>
        <v>SEX</v>
      </c>
      <c r="I3" s="81" t="str">
        <f t="shared" si="0"/>
        <v>SÁB</v>
      </c>
      <c r="J3" s="81" t="str">
        <f t="shared" si="0"/>
        <v>DOM</v>
      </c>
      <c r="K3" s="81" t="str">
        <f t="shared" si="0"/>
        <v>SEG</v>
      </c>
      <c r="L3" s="81" t="str">
        <f t="shared" si="0"/>
        <v>TER</v>
      </c>
      <c r="M3" s="81" t="str">
        <f t="shared" si="0"/>
        <v>QUA</v>
      </c>
      <c r="N3" s="81" t="str">
        <f t="shared" si="0"/>
        <v>QUI</v>
      </c>
      <c r="O3" s="81" t="str">
        <f t="shared" si="0"/>
        <v>SEX</v>
      </c>
      <c r="P3" s="81" t="str">
        <f t="shared" si="0"/>
        <v>SÁB</v>
      </c>
      <c r="Q3" s="81" t="str">
        <f t="shared" si="0"/>
        <v>DOM</v>
      </c>
      <c r="R3" s="81" t="str">
        <f t="shared" si="0"/>
        <v>SEG</v>
      </c>
      <c r="S3" s="81" t="str">
        <f t="shared" si="0"/>
        <v>TER</v>
      </c>
      <c r="T3" s="81" t="str">
        <f t="shared" si="0"/>
        <v>QUA</v>
      </c>
      <c r="U3" s="81" t="str">
        <f t="shared" si="0"/>
        <v>QUI</v>
      </c>
      <c r="V3" s="81" t="str">
        <f t="shared" si="0"/>
        <v>SEX</v>
      </c>
      <c r="W3" s="81" t="str">
        <f t="shared" si="0"/>
        <v>SÁB</v>
      </c>
      <c r="X3" s="81" t="str">
        <f t="shared" si="0"/>
        <v>DOM</v>
      </c>
      <c r="Y3" s="81" t="str">
        <f t="shared" si="0"/>
        <v>SEG</v>
      </c>
      <c r="Z3" s="81" t="str">
        <f t="shared" si="0"/>
        <v>TER</v>
      </c>
      <c r="AA3" s="81" t="str">
        <f t="shared" si="0"/>
        <v>QUA</v>
      </c>
      <c r="AB3" s="81" t="str">
        <f t="shared" si="0"/>
        <v>QUI</v>
      </c>
      <c r="AC3" s="81" t="str">
        <f t="shared" si="0"/>
        <v>SEX</v>
      </c>
      <c r="AD3" s="81" t="str">
        <f t="shared" si="0"/>
        <v>SÁB</v>
      </c>
      <c r="AE3" s="81" t="str">
        <f t="shared" si="0"/>
        <v>DOM</v>
      </c>
      <c r="AF3" s="81" t="str">
        <f t="shared" si="0"/>
        <v>SEG</v>
      </c>
      <c r="AG3" s="81" t="str">
        <f t="shared" si="0"/>
        <v>TER</v>
      </c>
      <c r="AH3" s="81" t="str">
        <f t="shared" si="0"/>
        <v>QUA</v>
      </c>
      <c r="AI3" s="81" t="str">
        <f t="shared" si="0"/>
        <v>QUI</v>
      </c>
      <c r="AJ3" s="81" t="str">
        <f t="shared" si="0"/>
        <v>SEX</v>
      </c>
      <c r="AK3" s="81" t="str">
        <f t="shared" si="0"/>
        <v>SÁB</v>
      </c>
      <c r="AL3" s="69" t="s">
        <v>16</v>
      </c>
    </row>
    <row r="4" spans="1:38" ht="12" customHeight="1" x14ac:dyDescent="0.2">
      <c r="A4" s="66"/>
      <c r="B4" s="69"/>
      <c r="C4" s="69"/>
      <c r="D4" s="69"/>
      <c r="E4" s="69"/>
      <c r="F4" s="68"/>
      <c r="G4" s="81" t="str">
        <f>UPPER(TEXT(G5,"DDD"))</f>
        <v>QUI</v>
      </c>
      <c r="H4" s="81" t="str">
        <f t="shared" ref="H4:AK4" si="1">UPPER(TEXT(H5,"DDD"))</f>
        <v>SEX</v>
      </c>
      <c r="I4" s="81" t="str">
        <f t="shared" si="1"/>
        <v>SÁB</v>
      </c>
      <c r="J4" s="93" t="str">
        <f t="shared" si="1"/>
        <v>DOM</v>
      </c>
      <c r="K4" s="81" t="str">
        <f t="shared" si="1"/>
        <v>SEG</v>
      </c>
      <c r="L4" s="81" t="str">
        <f t="shared" si="1"/>
        <v>TER</v>
      </c>
      <c r="M4" s="81" t="str">
        <f t="shared" si="1"/>
        <v>QUA</v>
      </c>
      <c r="N4" s="81" t="str">
        <f t="shared" si="1"/>
        <v>QUI</v>
      </c>
      <c r="O4" s="81" t="str">
        <f t="shared" si="1"/>
        <v>SEX</v>
      </c>
      <c r="P4" s="81" t="str">
        <f t="shared" si="1"/>
        <v>SÁB</v>
      </c>
      <c r="Q4" s="81" t="str">
        <f t="shared" si="1"/>
        <v>DOM</v>
      </c>
      <c r="R4" s="81" t="str">
        <f t="shared" si="1"/>
        <v>SEG</v>
      </c>
      <c r="S4" s="81" t="str">
        <f t="shared" si="1"/>
        <v>TER</v>
      </c>
      <c r="T4" s="81" t="str">
        <f t="shared" si="1"/>
        <v>QUA</v>
      </c>
      <c r="U4" s="81" t="str">
        <f t="shared" si="1"/>
        <v>QUI</v>
      </c>
      <c r="V4" s="81" t="str">
        <f t="shared" si="1"/>
        <v>SEX</v>
      </c>
      <c r="W4" s="81" t="str">
        <f t="shared" si="1"/>
        <v>SÁB</v>
      </c>
      <c r="X4" s="81" t="str">
        <f t="shared" si="1"/>
        <v>DOM</v>
      </c>
      <c r="Y4" s="81" t="str">
        <f t="shared" si="1"/>
        <v>SEG</v>
      </c>
      <c r="Z4" s="81" t="str">
        <f t="shared" si="1"/>
        <v>TER</v>
      </c>
      <c r="AA4" s="81" t="str">
        <f t="shared" si="1"/>
        <v>QUA</v>
      </c>
      <c r="AB4" s="81" t="str">
        <f t="shared" si="1"/>
        <v>QUI</v>
      </c>
      <c r="AC4" s="81" t="str">
        <f t="shared" si="1"/>
        <v>SEX</v>
      </c>
      <c r="AD4" s="81" t="str">
        <f t="shared" si="1"/>
        <v>SÁB</v>
      </c>
      <c r="AE4" s="81" t="str">
        <f t="shared" si="1"/>
        <v>DOM</v>
      </c>
      <c r="AF4" s="81" t="str">
        <f t="shared" si="1"/>
        <v>SEG</v>
      </c>
      <c r="AG4" s="81" t="str">
        <f t="shared" si="1"/>
        <v>TER</v>
      </c>
      <c r="AH4" s="81" t="str">
        <f t="shared" si="1"/>
        <v>QUA</v>
      </c>
      <c r="AI4" s="81" t="str">
        <f t="shared" si="1"/>
        <v>QUI</v>
      </c>
      <c r="AJ4" s="81" t="str">
        <f t="shared" si="1"/>
        <v>SEX</v>
      </c>
      <c r="AK4" s="81" t="str">
        <f t="shared" si="1"/>
        <v>SÁB</v>
      </c>
      <c r="AL4" s="69"/>
    </row>
    <row r="5" spans="1:38" ht="21" customHeight="1" x14ac:dyDescent="0.25">
      <c r="A5" s="75" t="s">
        <v>17</v>
      </c>
      <c r="B5" s="65" t="s">
        <v>32</v>
      </c>
      <c r="C5" s="70" t="s">
        <v>4</v>
      </c>
      <c r="D5" s="74" t="s">
        <v>5</v>
      </c>
      <c r="E5" s="75" t="s">
        <v>6</v>
      </c>
      <c r="F5" s="80" t="s">
        <v>78</v>
      </c>
      <c r="G5" s="82">
        <v>46023</v>
      </c>
      <c r="H5" s="82">
        <f>G5+1</f>
        <v>46024</v>
      </c>
      <c r="I5" s="82">
        <f t="shared" ref="I5:AK5" si="2">H5+1</f>
        <v>46025</v>
      </c>
      <c r="J5" s="82">
        <f t="shared" si="2"/>
        <v>46026</v>
      </c>
      <c r="K5" s="82">
        <f t="shared" si="2"/>
        <v>46027</v>
      </c>
      <c r="L5" s="82">
        <f t="shared" si="2"/>
        <v>46028</v>
      </c>
      <c r="M5" s="82">
        <f t="shared" si="2"/>
        <v>46029</v>
      </c>
      <c r="N5" s="82">
        <f t="shared" si="2"/>
        <v>46030</v>
      </c>
      <c r="O5" s="82">
        <f t="shared" si="2"/>
        <v>46031</v>
      </c>
      <c r="P5" s="82">
        <f t="shared" si="2"/>
        <v>46032</v>
      </c>
      <c r="Q5" s="82">
        <f t="shared" si="2"/>
        <v>46033</v>
      </c>
      <c r="R5" s="82">
        <f t="shared" si="2"/>
        <v>46034</v>
      </c>
      <c r="S5" s="82">
        <f t="shared" si="2"/>
        <v>46035</v>
      </c>
      <c r="T5" s="82">
        <f t="shared" si="2"/>
        <v>46036</v>
      </c>
      <c r="U5" s="82">
        <f t="shared" si="2"/>
        <v>46037</v>
      </c>
      <c r="V5" s="82">
        <f t="shared" si="2"/>
        <v>46038</v>
      </c>
      <c r="W5" s="82">
        <f t="shared" si="2"/>
        <v>46039</v>
      </c>
      <c r="X5" s="82">
        <f t="shared" si="2"/>
        <v>46040</v>
      </c>
      <c r="Y5" s="82">
        <f t="shared" si="2"/>
        <v>46041</v>
      </c>
      <c r="Z5" s="82">
        <f t="shared" si="2"/>
        <v>46042</v>
      </c>
      <c r="AA5" s="82">
        <f t="shared" si="2"/>
        <v>46043</v>
      </c>
      <c r="AB5" s="82">
        <f t="shared" si="2"/>
        <v>46044</v>
      </c>
      <c r="AC5" s="82">
        <f t="shared" si="2"/>
        <v>46045</v>
      </c>
      <c r="AD5" s="82">
        <f t="shared" si="2"/>
        <v>46046</v>
      </c>
      <c r="AE5" s="82">
        <f t="shared" si="2"/>
        <v>46047</v>
      </c>
      <c r="AF5" s="82">
        <f t="shared" si="2"/>
        <v>46048</v>
      </c>
      <c r="AG5" s="82">
        <f t="shared" si="2"/>
        <v>46049</v>
      </c>
      <c r="AH5" s="82">
        <f t="shared" si="2"/>
        <v>46050</v>
      </c>
      <c r="AI5" s="82">
        <f t="shared" si="2"/>
        <v>46051</v>
      </c>
      <c r="AJ5" s="82">
        <f t="shared" si="2"/>
        <v>46052</v>
      </c>
      <c r="AK5" s="82">
        <f t="shared" si="2"/>
        <v>46053</v>
      </c>
      <c r="AL5" s="71" t="s">
        <v>2</v>
      </c>
    </row>
    <row r="6" spans="1:38" ht="18" customHeight="1" x14ac:dyDescent="0.3">
      <c r="A6" s="72"/>
      <c r="B6" s="155" t="s">
        <v>67</v>
      </c>
      <c r="C6" s="76" t="s">
        <v>18</v>
      </c>
      <c r="D6" s="76" t="s">
        <v>19</v>
      </c>
      <c r="E6" s="78">
        <v>36</v>
      </c>
      <c r="F6" s="91">
        <f t="array" ref="F6">SUMPRODUCT((G6:AK6="SD")+(G6:AK6="SN")+(G6:AK6="MT")+(G6:AK6="8H")+(G6:AK6="N")+(G6:AK6="M")+(G6:AK6="T")+(G6:AK6="AE")+(G6:AK6="AB")+(G6:AK6="AA")+(G6:AK6="FC"))</f>
        <v>13</v>
      </c>
      <c r="G6" s="62"/>
      <c r="H6" s="56" t="s">
        <v>9</v>
      </c>
      <c r="I6" s="62"/>
      <c r="J6" s="59" t="s">
        <v>75</v>
      </c>
      <c r="K6" s="57"/>
      <c r="L6" s="57"/>
      <c r="M6" s="56" t="s">
        <v>9</v>
      </c>
      <c r="N6" s="57"/>
      <c r="O6" s="56" t="s">
        <v>9</v>
      </c>
      <c r="P6" s="62"/>
      <c r="Q6" s="59" t="s">
        <v>9</v>
      </c>
      <c r="R6" s="56" t="s">
        <v>75</v>
      </c>
      <c r="S6" s="107"/>
      <c r="T6" s="57"/>
      <c r="U6" s="56" t="s">
        <v>9</v>
      </c>
      <c r="V6" s="57"/>
      <c r="W6" s="59" t="s">
        <v>75</v>
      </c>
      <c r="X6" s="62"/>
      <c r="Y6" s="57"/>
      <c r="Z6" s="56" t="s">
        <v>9</v>
      </c>
      <c r="AA6" s="57"/>
      <c r="AB6" s="56" t="s">
        <v>9</v>
      </c>
      <c r="AC6" s="57"/>
      <c r="AD6" s="62"/>
      <c r="AE6" s="59" t="s">
        <v>9</v>
      </c>
      <c r="AF6" s="57"/>
      <c r="AG6" s="56" t="s">
        <v>75</v>
      </c>
      <c r="AH6" s="57"/>
      <c r="AI6" s="57" t="s">
        <v>9</v>
      </c>
      <c r="AJ6" s="56"/>
      <c r="AK6" s="62"/>
      <c r="AL6" s="92">
        <f>SUMPRODUCT((G6:AK6="SD")*12 + (G6:AK6="SN")*12 + (G6:AK6="MT")*8 + (G6:AK6="M")*6 + (G6:AK6="T")*6)</f>
        <v>156</v>
      </c>
    </row>
    <row r="7" spans="1:38" ht="13.8" x14ac:dyDescent="0.2">
      <c r="A7" s="73"/>
      <c r="B7" s="63" t="s">
        <v>68</v>
      </c>
      <c r="C7" s="76" t="s">
        <v>18</v>
      </c>
      <c r="D7" s="76" t="s">
        <v>19</v>
      </c>
      <c r="E7" s="78">
        <v>36</v>
      </c>
      <c r="F7" s="91">
        <f t="array" ref="F7">SUMPRODUCT((G7:AK7="SD")+(G7:AK7="SN")+(G7:AK7="MT")+(G7:AK7="8H")+(G7:AK7="N")+(G7:AK7="M")+(G7:AK7="T")+(G7:AK7="AE")+(G7:AK7="AB")+(G7:AK7="AA")+(G7:AK7="FC"))</f>
        <v>13</v>
      </c>
      <c r="G7" s="62"/>
      <c r="H7" s="56" t="s">
        <v>75</v>
      </c>
      <c r="I7" s="62"/>
      <c r="J7" s="62"/>
      <c r="K7" s="56" t="s">
        <v>9</v>
      </c>
      <c r="L7" s="57"/>
      <c r="M7" s="56" t="s">
        <v>75</v>
      </c>
      <c r="N7" s="57"/>
      <c r="O7" s="57"/>
      <c r="P7" s="59" t="s">
        <v>9</v>
      </c>
      <c r="Q7" s="62"/>
      <c r="R7" s="56"/>
      <c r="S7" s="149" t="s">
        <v>8</v>
      </c>
      <c r="T7" s="57"/>
      <c r="U7" s="56" t="s">
        <v>9</v>
      </c>
      <c r="V7" s="57"/>
      <c r="W7" s="59" t="s">
        <v>75</v>
      </c>
      <c r="X7" s="62"/>
      <c r="Y7" s="57"/>
      <c r="Z7" s="56" t="s">
        <v>9</v>
      </c>
      <c r="AA7" s="57"/>
      <c r="AB7" s="56" t="s">
        <v>75</v>
      </c>
      <c r="AC7" s="57"/>
      <c r="AD7" s="62"/>
      <c r="AE7" s="59" t="s">
        <v>9</v>
      </c>
      <c r="AF7" s="57"/>
      <c r="AG7" s="56" t="s">
        <v>9</v>
      </c>
      <c r="AH7" s="57"/>
      <c r="AI7" s="56" t="s">
        <v>75</v>
      </c>
      <c r="AJ7" s="57"/>
      <c r="AK7" s="59" t="s">
        <v>9</v>
      </c>
      <c r="AL7" s="92">
        <f t="shared" ref="AL7:AL10" si="3">SUMPRODUCT((G7:AK7="SD")*12 + (G7:AK7="SN")*12 + (G7:AK7="MT")*8 + (G7:AK7="M")*6 + (G7:AK7="T")*6)</f>
        <v>156</v>
      </c>
    </row>
    <row r="8" spans="1:38" ht="18" customHeight="1" x14ac:dyDescent="0.2">
      <c r="A8" s="73"/>
      <c r="B8" s="63" t="s">
        <v>20</v>
      </c>
      <c r="C8" s="76" t="s">
        <v>18</v>
      </c>
      <c r="D8" s="76" t="s">
        <v>19</v>
      </c>
      <c r="E8" s="78">
        <v>36</v>
      </c>
      <c r="F8" s="91">
        <f t="array" ref="F8">SUMPRODUCT((G8:AK8="SD")+(G8:AK8="SN")+(G8:AK8="MT")+(G8:AK8="8H")+(G8:AK8="N")+(G8:AK8="M")+(G8:AK8="T")+(G8:AK8="AE")+(G8:AK8="AB")+(G8:AK8="AA")+(G8:AK8="FC"))</f>
        <v>13</v>
      </c>
      <c r="G8" s="62"/>
      <c r="H8" s="56" t="s">
        <v>75</v>
      </c>
      <c r="I8" s="62"/>
      <c r="J8" s="62"/>
      <c r="K8" s="64"/>
      <c r="L8" s="56" t="s">
        <v>9</v>
      </c>
      <c r="M8" s="56" t="s">
        <v>75</v>
      </c>
      <c r="N8" s="57"/>
      <c r="O8" s="57"/>
      <c r="P8" s="59" t="s">
        <v>9</v>
      </c>
      <c r="Q8" s="62"/>
      <c r="R8" s="56" t="s">
        <v>75</v>
      </c>
      <c r="S8" s="107"/>
      <c r="T8" s="57"/>
      <c r="U8" s="56" t="s">
        <v>9</v>
      </c>
      <c r="V8" s="57"/>
      <c r="W8" s="59" t="s">
        <v>75</v>
      </c>
      <c r="X8" s="62"/>
      <c r="Y8" s="57"/>
      <c r="Z8" s="56" t="s">
        <v>9</v>
      </c>
      <c r="AA8" s="57"/>
      <c r="AB8" s="56" t="s">
        <v>75</v>
      </c>
      <c r="AC8" s="57"/>
      <c r="AD8" s="62"/>
      <c r="AE8" s="58" t="s">
        <v>8</v>
      </c>
      <c r="AF8" s="57"/>
      <c r="AG8" s="56" t="s">
        <v>9</v>
      </c>
      <c r="AH8" s="57"/>
      <c r="AI8" s="56" t="s">
        <v>75</v>
      </c>
      <c r="AJ8" s="57"/>
      <c r="AK8" s="59" t="s">
        <v>9</v>
      </c>
      <c r="AL8" s="92">
        <f t="shared" si="3"/>
        <v>156</v>
      </c>
    </row>
    <row r="9" spans="1:38" ht="18" customHeight="1" x14ac:dyDescent="0.2">
      <c r="A9" s="73"/>
      <c r="B9" s="63" t="s">
        <v>21</v>
      </c>
      <c r="C9" s="76" t="s">
        <v>18</v>
      </c>
      <c r="D9" s="76" t="s">
        <v>19</v>
      </c>
      <c r="E9" s="78">
        <v>36</v>
      </c>
      <c r="F9" s="91">
        <f t="array" ref="F9">SUMPRODUCT((G9:AK9="SD")+(G9:AK9="SN")+(G9:AK9="MT")+(G9:AK9="8H")+(G9:AK9="N")+(G9:AK9="M")+(G9:AK9="T")+(G9:AK9="AE")+(G9:AK9="AB")+(G9:AK9="AA")+(G9:AK9="FC"))</f>
        <v>13</v>
      </c>
      <c r="G9" s="62"/>
      <c r="H9" s="64" t="s">
        <v>8</v>
      </c>
      <c r="I9" s="59" t="s">
        <v>75</v>
      </c>
      <c r="J9" s="62"/>
      <c r="K9" s="56" t="s">
        <v>75</v>
      </c>
      <c r="L9" s="57"/>
      <c r="M9" s="64" t="s">
        <v>8</v>
      </c>
      <c r="N9" s="57"/>
      <c r="O9" s="56" t="s">
        <v>75</v>
      </c>
      <c r="P9" s="62"/>
      <c r="Q9" s="62"/>
      <c r="R9" s="57"/>
      <c r="S9" s="108" t="s">
        <v>9</v>
      </c>
      <c r="T9" s="57"/>
      <c r="U9" s="56" t="s">
        <v>75</v>
      </c>
      <c r="V9" s="57"/>
      <c r="W9" s="62"/>
      <c r="X9" s="62"/>
      <c r="Y9" s="56" t="s">
        <v>75</v>
      </c>
      <c r="Z9" s="57"/>
      <c r="AA9" s="57"/>
      <c r="AB9" s="64" t="s">
        <v>8</v>
      </c>
      <c r="AC9" s="57"/>
      <c r="AD9" s="59" t="s">
        <v>9</v>
      </c>
      <c r="AE9" s="62"/>
      <c r="AF9" s="57"/>
      <c r="AG9" s="56" t="s">
        <v>75</v>
      </c>
      <c r="AH9" s="57"/>
      <c r="AI9" s="56" t="s">
        <v>9</v>
      </c>
      <c r="AJ9" s="57"/>
      <c r="AK9" s="59" t="s">
        <v>75</v>
      </c>
      <c r="AL9" s="92">
        <f t="shared" si="3"/>
        <v>156</v>
      </c>
    </row>
    <row r="10" spans="1:38" ht="18" customHeight="1" x14ac:dyDescent="0.2">
      <c r="A10" s="73"/>
      <c r="B10" s="63" t="s">
        <v>22</v>
      </c>
      <c r="C10" s="76" t="s">
        <v>18</v>
      </c>
      <c r="D10" s="76" t="s">
        <v>19</v>
      </c>
      <c r="E10" s="78">
        <v>36</v>
      </c>
      <c r="F10" s="91">
        <f t="array" ref="F10">SUMPRODUCT((G10:AK10="SD")+(G10:AK10="SN")+(G10:AK10="MT")+(G10:AK10="8H")+(G10:AK10="N")+(G10:AK10="M")+(G10:AK10="T")+(G10:AK10="AE")+(G10:AK10="AB")+(G10:AK10="AA")+(G10:AK10="FC"))</f>
        <v>13</v>
      </c>
      <c r="G10" s="62"/>
      <c r="H10" s="56"/>
      <c r="I10" s="59" t="s">
        <v>75</v>
      </c>
      <c r="J10" s="62"/>
      <c r="K10" s="56" t="s">
        <v>75</v>
      </c>
      <c r="L10" s="57"/>
      <c r="M10" s="56" t="s">
        <v>9</v>
      </c>
      <c r="N10" s="57"/>
      <c r="O10" s="57"/>
      <c r="P10" s="59" t="s">
        <v>75</v>
      </c>
      <c r="Q10" s="62"/>
      <c r="R10" s="57" t="s">
        <v>9</v>
      </c>
      <c r="S10" s="108"/>
      <c r="T10" s="64" t="s">
        <v>8</v>
      </c>
      <c r="U10" s="56"/>
      <c r="V10" s="57" t="s">
        <v>9</v>
      </c>
      <c r="W10" s="62"/>
      <c r="X10" s="62"/>
      <c r="Y10" s="56" t="s">
        <v>75</v>
      </c>
      <c r="Z10" s="57"/>
      <c r="AA10" s="57"/>
      <c r="AB10" s="56" t="s">
        <v>9</v>
      </c>
      <c r="AC10" s="57"/>
      <c r="AD10" s="59" t="s">
        <v>9</v>
      </c>
      <c r="AE10" s="62"/>
      <c r="AF10" s="57"/>
      <c r="AG10" s="56" t="s">
        <v>75</v>
      </c>
      <c r="AH10" s="57"/>
      <c r="AI10" s="56"/>
      <c r="AJ10" s="57" t="s">
        <v>9</v>
      </c>
      <c r="AK10" s="59" t="s">
        <v>75</v>
      </c>
      <c r="AL10" s="92">
        <f t="shared" si="3"/>
        <v>156</v>
      </c>
    </row>
    <row r="11" spans="1:38" ht="18" customHeight="1" x14ac:dyDescent="0.2">
      <c r="A11" s="73"/>
      <c r="B11" s="63" t="s">
        <v>24</v>
      </c>
      <c r="C11" s="76" t="s">
        <v>18</v>
      </c>
      <c r="D11" s="76" t="s">
        <v>19</v>
      </c>
      <c r="E11" s="78">
        <v>36</v>
      </c>
      <c r="F11" s="91">
        <f t="array" ref="F11">SUMPRODUCT((G11:AK11="SD")+(G11:AK11="SN")+(G11:AK11="MT")+(G11:AK11="8H")+(G11:AK11="N")+(G11:AK11="M")+(G11:AK11="T")+(G11:AK11="AE")+(G11:AK11="AB")+(G11:AK11="AA")+(G11:AK11="FC"))</f>
        <v>13</v>
      </c>
      <c r="G11" s="59" t="s">
        <v>75</v>
      </c>
      <c r="H11" s="57"/>
      <c r="I11" s="62"/>
      <c r="J11" s="59" t="s">
        <v>9</v>
      </c>
      <c r="K11" s="57"/>
      <c r="L11" s="56" t="s">
        <v>9</v>
      </c>
      <c r="M11" s="57"/>
      <c r="N11" s="57"/>
      <c r="O11" s="56" t="s">
        <v>9</v>
      </c>
      <c r="P11" s="62"/>
      <c r="Q11" s="58" t="s">
        <v>8</v>
      </c>
      <c r="R11" s="57"/>
      <c r="S11" s="107"/>
      <c r="T11" s="56" t="s">
        <v>76</v>
      </c>
      <c r="U11" s="57"/>
      <c r="V11" s="56" t="s">
        <v>75</v>
      </c>
      <c r="W11" s="62"/>
      <c r="X11" s="62"/>
      <c r="Y11" s="56" t="s">
        <v>76</v>
      </c>
      <c r="Z11" s="57"/>
      <c r="AA11" s="56" t="s">
        <v>9</v>
      </c>
      <c r="AB11" s="57"/>
      <c r="AC11" s="57"/>
      <c r="AD11" s="59" t="s">
        <v>9</v>
      </c>
      <c r="AE11" s="62"/>
      <c r="AF11" s="56" t="s">
        <v>75</v>
      </c>
      <c r="AG11" s="57"/>
      <c r="AH11" s="56" t="s">
        <v>9</v>
      </c>
      <c r="AI11" s="57"/>
      <c r="AJ11" s="57"/>
      <c r="AK11" s="59" t="s">
        <v>9</v>
      </c>
      <c r="AL11" s="92">
        <f>SUMPRODUCT((G11:AK11="SD")*12 + (G11:AK11="SN")*12 + (G11:AK11="MT")*8 + (G11:AK11="M")*6 + (G11:AK11="T")*6)</f>
        <v>156</v>
      </c>
    </row>
    <row r="12" spans="1:38" ht="18" customHeight="1" x14ac:dyDescent="0.2">
      <c r="A12" s="73"/>
      <c r="B12" s="63" t="s">
        <v>25</v>
      </c>
      <c r="C12" s="76" t="s">
        <v>18</v>
      </c>
      <c r="D12" s="76" t="s">
        <v>19</v>
      </c>
      <c r="E12" s="78">
        <v>36</v>
      </c>
      <c r="F12" s="91">
        <f t="array" ref="F12">SUMPRODUCT((G12:AK12="SD")+(G12:AK12="SN")+(G12:AK12="MT")+(G12:AK12="8H")+(G12:AK12="N")+(G12:AK12="M")+(G12:AK12="T")+(G12:AK12="AE")+(G12:AK12="AB")+(G12:AK12="AA")+(G12:AK12="FC"))</f>
        <v>13</v>
      </c>
      <c r="G12" s="62"/>
      <c r="H12" s="57"/>
      <c r="I12" s="59" t="s">
        <v>77</v>
      </c>
      <c r="J12" s="59" t="s">
        <v>75</v>
      </c>
      <c r="K12" s="56" t="s">
        <v>9</v>
      </c>
      <c r="L12" s="56"/>
      <c r="M12" s="57"/>
      <c r="N12" s="56" t="s">
        <v>9</v>
      </c>
      <c r="O12" s="57"/>
      <c r="P12" s="59" t="s">
        <v>75</v>
      </c>
      <c r="Q12" s="62"/>
      <c r="R12" s="56" t="s">
        <v>9</v>
      </c>
      <c r="S12" s="108" t="s">
        <v>75</v>
      </c>
      <c r="T12" s="57"/>
      <c r="U12" s="56" t="s">
        <v>75</v>
      </c>
      <c r="V12" s="57"/>
      <c r="W12" s="62"/>
      <c r="X12" s="59" t="s">
        <v>76</v>
      </c>
      <c r="Y12" s="57"/>
      <c r="Z12" s="56" t="s">
        <v>75</v>
      </c>
      <c r="AA12" s="57"/>
      <c r="AB12" s="57"/>
      <c r="AC12" s="56" t="s">
        <v>9</v>
      </c>
      <c r="AD12" s="58" t="s">
        <v>8</v>
      </c>
      <c r="AE12" s="62"/>
      <c r="AF12" s="56"/>
      <c r="AG12" s="57"/>
      <c r="AH12" s="56" t="s">
        <v>9</v>
      </c>
      <c r="AI12" s="57"/>
      <c r="AJ12" s="57"/>
      <c r="AK12" s="62"/>
      <c r="AL12" s="92">
        <f>SUMPRODUCT((G12:AK12="SD")*12 + (G12:AK12="SN")*12 + (G12:AK12="MT")*8 + (G12:AK12="M")*6 + (G12:AK12="T")*6)</f>
        <v>156</v>
      </c>
    </row>
    <row r="13" spans="1:38" ht="18" customHeight="1" x14ac:dyDescent="0.2">
      <c r="A13" s="73"/>
      <c r="B13" s="63" t="s">
        <v>26</v>
      </c>
      <c r="C13" s="76" t="s">
        <v>18</v>
      </c>
      <c r="D13" s="76" t="s">
        <v>19</v>
      </c>
      <c r="E13" s="78">
        <v>36</v>
      </c>
      <c r="F13" s="91">
        <f t="array" ref="F13">SUMPRODUCT((G13:AK13="SD")+(G13:AK13="SN")+(G13:AK13="MT")+(G13:AK13="8H")+(G13:AK13="N")+(G13:AK13="M")+(G13:AK13="T")+(G13:AK13="AE")+(G13:AK13="AB")+(G13:AK13="AA")+(G13:AK13="FC"))</f>
        <v>13</v>
      </c>
      <c r="G13" s="62"/>
      <c r="H13" s="56" t="s">
        <v>9</v>
      </c>
      <c r="I13" s="62"/>
      <c r="J13" s="59" t="s">
        <v>75</v>
      </c>
      <c r="K13" s="57"/>
      <c r="L13" s="56" t="s">
        <v>75</v>
      </c>
      <c r="M13" s="57"/>
      <c r="N13" s="56" t="s">
        <v>9</v>
      </c>
      <c r="O13" s="57"/>
      <c r="P13" s="59" t="s">
        <v>9</v>
      </c>
      <c r="Q13" s="62"/>
      <c r="R13" s="57"/>
      <c r="S13" s="108" t="s">
        <v>75</v>
      </c>
      <c r="T13" s="57"/>
      <c r="U13" s="56" t="s">
        <v>9</v>
      </c>
      <c r="V13" s="57"/>
      <c r="W13" s="62"/>
      <c r="X13" s="59" t="s">
        <v>76</v>
      </c>
      <c r="Y13" s="57"/>
      <c r="Z13" s="56" t="s">
        <v>75</v>
      </c>
      <c r="AA13" s="57"/>
      <c r="AB13" s="57"/>
      <c r="AC13" s="56" t="s">
        <v>9</v>
      </c>
      <c r="AD13" s="62"/>
      <c r="AE13" s="62"/>
      <c r="AF13" s="56" t="s">
        <v>9</v>
      </c>
      <c r="AG13" s="57"/>
      <c r="AH13" s="56" t="s">
        <v>75</v>
      </c>
      <c r="AI13" s="57"/>
      <c r="AJ13" s="56" t="s">
        <v>75</v>
      </c>
      <c r="AK13" s="62"/>
      <c r="AL13" s="92">
        <f>SUMPRODUCT((G13:AK13="SD")*12 + (G13:AK13="SN")*12 + (G13:AK13="MT")*8 + (G13:AK13="M")*6 + (G13:AK13="T")*6)</f>
        <v>156</v>
      </c>
    </row>
    <row r="14" spans="1:38" ht="18" customHeight="1" x14ac:dyDescent="0.2">
      <c r="A14" s="73"/>
      <c r="B14" s="63" t="s">
        <v>82</v>
      </c>
      <c r="C14" s="76" t="s">
        <v>18</v>
      </c>
      <c r="D14" s="76" t="s">
        <v>19</v>
      </c>
      <c r="E14" s="78">
        <v>36</v>
      </c>
      <c r="F14" s="91">
        <f t="array" ref="F14">SUMPRODUCT((G14:AK14="SD")+(G14:AK14="SN")+(G14:AK14="MT")+(G14:AK14="8H")+(G14:AK14="N")+(G14:AK14="M")+(G14:AK14="T")+(G14:AK14="AE")+(G14:AK14="AB")+(G14:AK14="AA")+(G14:AK14="FC"))</f>
        <v>13</v>
      </c>
      <c r="G14" s="62"/>
      <c r="H14" s="57"/>
      <c r="I14" s="59" t="s">
        <v>77</v>
      </c>
      <c r="J14" s="62"/>
      <c r="K14" s="56" t="s">
        <v>75</v>
      </c>
      <c r="L14" s="57"/>
      <c r="M14" s="56" t="s">
        <v>9</v>
      </c>
      <c r="N14" s="57"/>
      <c r="O14" s="56" t="s">
        <v>75</v>
      </c>
      <c r="P14" s="62"/>
      <c r="Q14" s="62"/>
      <c r="R14" s="56" t="s">
        <v>9</v>
      </c>
      <c r="S14" s="107"/>
      <c r="T14" s="56" t="s">
        <v>75</v>
      </c>
      <c r="U14" s="57"/>
      <c r="V14" s="57"/>
      <c r="W14" s="59" t="s">
        <v>9</v>
      </c>
      <c r="X14" s="62"/>
      <c r="Y14" s="56" t="s">
        <v>9</v>
      </c>
      <c r="Z14" s="56"/>
      <c r="AA14" s="56" t="s">
        <v>9</v>
      </c>
      <c r="AB14" s="56"/>
      <c r="AC14" s="56" t="s">
        <v>9</v>
      </c>
      <c r="AD14" s="62"/>
      <c r="AE14" s="62"/>
      <c r="AF14" s="56" t="s">
        <v>9</v>
      </c>
      <c r="AG14" s="57"/>
      <c r="AH14" s="56" t="s">
        <v>75</v>
      </c>
      <c r="AI14" s="57"/>
      <c r="AJ14" s="57"/>
      <c r="AK14" s="59" t="s">
        <v>9</v>
      </c>
      <c r="AL14" s="92">
        <f>SUMPRODUCT((G14:AK14="SD")*12 + (G14:AK14="SN")*12 + (G14:AK14="MT")*8 + (G14:AK14="M")*6 + (G14:AK14="T")*6)</f>
        <v>156</v>
      </c>
    </row>
    <row r="15" spans="1:38" ht="18" customHeight="1" x14ac:dyDescent="0.2">
      <c r="A15" s="73"/>
      <c r="B15" s="63" t="s">
        <v>27</v>
      </c>
      <c r="C15" s="76" t="s">
        <v>18</v>
      </c>
      <c r="D15" s="76" t="s">
        <v>19</v>
      </c>
      <c r="E15" s="78">
        <v>37</v>
      </c>
      <c r="F15" s="91">
        <f t="array" ref="F15">SUMPRODUCT((G15:AK15="SD")+(G15:AK15="SN")+(G15:AK15="MT")+(G15:AK15="8H")+(G15:AK15="N")+(G15:AK15="M")+(G15:AK15="T")+(G15:AK15="AE")+(G15:AK15="AB")+(G15:AK15="AA")+(G15:AK15="FC"))</f>
        <v>13</v>
      </c>
      <c r="G15" s="58" t="s">
        <v>8</v>
      </c>
      <c r="H15" s="64"/>
      <c r="I15" s="58" t="s">
        <v>8</v>
      </c>
      <c r="J15" s="58"/>
      <c r="K15" s="57"/>
      <c r="L15" s="56" t="s">
        <v>9</v>
      </c>
      <c r="M15" s="57"/>
      <c r="N15" s="56" t="s">
        <v>75</v>
      </c>
      <c r="O15" s="57"/>
      <c r="P15" s="62"/>
      <c r="Q15" s="59" t="s">
        <v>9</v>
      </c>
      <c r="R15" s="57"/>
      <c r="S15" s="108" t="s">
        <v>9</v>
      </c>
      <c r="T15" s="57"/>
      <c r="U15" s="57"/>
      <c r="V15" s="56" t="s">
        <v>9</v>
      </c>
      <c r="W15" s="62"/>
      <c r="X15" s="62"/>
      <c r="Y15" s="56" t="s">
        <v>9</v>
      </c>
      <c r="Z15" s="56"/>
      <c r="AA15" s="56" t="s">
        <v>9</v>
      </c>
      <c r="AB15" s="56"/>
      <c r="AC15" s="64" t="s">
        <v>8</v>
      </c>
      <c r="AD15" s="62"/>
      <c r="AE15" s="59" t="s">
        <v>9</v>
      </c>
      <c r="AF15" s="57"/>
      <c r="AG15" s="56" t="s">
        <v>9</v>
      </c>
      <c r="AH15" s="57"/>
      <c r="AI15" s="57"/>
      <c r="AJ15" s="56" t="s">
        <v>9</v>
      </c>
      <c r="AK15" s="62"/>
      <c r="AL15" s="92">
        <f t="shared" ref="AL15" si="4">SUMPRODUCT((G15:AK15="SD")*12 + (G15:AK15="SN")*12 + (G15:AK15="MT")*8 + (G15:AK15="M")*6 + (G15:AK15="T")*6)</f>
        <v>156</v>
      </c>
    </row>
    <row r="16" spans="1:38" ht="18" customHeight="1" x14ac:dyDescent="0.2">
      <c r="A16" s="73"/>
      <c r="B16" s="63" t="s">
        <v>83</v>
      </c>
      <c r="C16" s="76" t="s">
        <v>18</v>
      </c>
      <c r="D16" s="76" t="s">
        <v>19</v>
      </c>
      <c r="E16" s="78">
        <v>36</v>
      </c>
      <c r="F16" s="91">
        <f t="array" ref="F16">SUMPRODUCT((G16:AK16="SD")+(G16:AK16="SN")+(G16:AK16="MT")+(G16:AK16="8H")+(G16:AK16="N")+(G16:AK16="M")+(G16:AK16="T")+(G16:AK16="AE")+(G16:AK16="AB")+(G16:AK16="AA")+(G16:AK16="FC"))</f>
        <v>11</v>
      </c>
      <c r="G16" s="59" t="s">
        <v>7</v>
      </c>
      <c r="H16" s="57"/>
      <c r="I16" s="102"/>
      <c r="J16" s="103" t="s">
        <v>9</v>
      </c>
      <c r="K16" s="57"/>
      <c r="L16" s="56" t="s">
        <v>75</v>
      </c>
      <c r="M16" s="57"/>
      <c r="N16" s="56" t="s">
        <v>75</v>
      </c>
      <c r="O16" s="57"/>
      <c r="P16" s="102"/>
      <c r="Q16" s="103" t="s">
        <v>9</v>
      </c>
      <c r="R16" s="57"/>
      <c r="S16" s="108" t="s">
        <v>9</v>
      </c>
      <c r="T16" s="57"/>
      <c r="U16" s="57"/>
      <c r="V16" s="56" t="s">
        <v>9</v>
      </c>
      <c r="W16" s="102"/>
      <c r="X16" s="103" t="s">
        <v>9</v>
      </c>
      <c r="Y16" s="56"/>
      <c r="Z16" s="56"/>
      <c r="AA16" s="56" t="s">
        <v>9</v>
      </c>
      <c r="AB16" s="56"/>
      <c r="AC16" s="56" t="s">
        <v>9</v>
      </c>
      <c r="AD16" s="102"/>
      <c r="AE16" s="102"/>
      <c r="AF16" s="56" t="s">
        <v>9</v>
      </c>
      <c r="AG16" s="57"/>
      <c r="AH16" s="56" t="s">
        <v>75</v>
      </c>
      <c r="AI16" s="57"/>
      <c r="AJ16" s="107"/>
      <c r="AK16" s="102"/>
      <c r="AL16" s="92">
        <v>156</v>
      </c>
    </row>
    <row r="17" spans="1:38" ht="18" customHeight="1" x14ac:dyDescent="0.2">
      <c r="A17" s="73"/>
      <c r="B17" s="63" t="s">
        <v>28</v>
      </c>
      <c r="C17" s="76" t="s">
        <v>18</v>
      </c>
      <c r="D17" s="76" t="s">
        <v>19</v>
      </c>
      <c r="E17" s="78">
        <v>36</v>
      </c>
      <c r="F17" s="91">
        <f t="array" ref="F17">SUMPRODUCT((G17:AK17="SD")+(G17:AK17="SN")+(G17:AK17="MT")+(G17:AK17="8H")+(G17:AK17="N")+(G17:AK17="M")+(G17:AK17="T")+(G17:AK17="AE")+(G17:AK17="AB")+(G17:AK17="AA")+(G17:AK17="FC"))</f>
        <v>12</v>
      </c>
      <c r="G17" s="62"/>
      <c r="H17" s="56" t="s">
        <v>9</v>
      </c>
      <c r="I17" s="102" t="s">
        <v>9</v>
      </c>
      <c r="J17" s="103"/>
      <c r="K17" s="57" t="s">
        <v>9</v>
      </c>
      <c r="L17" s="56" t="s">
        <v>9</v>
      </c>
      <c r="M17" s="56"/>
      <c r="N17" s="57"/>
      <c r="O17" s="56"/>
      <c r="P17" s="102"/>
      <c r="Q17" s="102"/>
      <c r="R17" s="56" t="s">
        <v>9</v>
      </c>
      <c r="S17" s="107" t="s">
        <v>9</v>
      </c>
      <c r="T17" s="56" t="s">
        <v>9</v>
      </c>
      <c r="U17" s="57"/>
      <c r="V17" s="57"/>
      <c r="W17" s="103"/>
      <c r="X17" s="102"/>
      <c r="Y17" s="56" t="s">
        <v>9</v>
      </c>
      <c r="Z17" s="56"/>
      <c r="AA17" s="56"/>
      <c r="AB17" s="56" t="s">
        <v>9</v>
      </c>
      <c r="AC17" s="56" t="s">
        <v>75</v>
      </c>
      <c r="AD17" s="102"/>
      <c r="AE17" s="103" t="s">
        <v>9</v>
      </c>
      <c r="AF17" s="57"/>
      <c r="AG17" s="56"/>
      <c r="AH17" s="57"/>
      <c r="AI17" s="57"/>
      <c r="AJ17" s="108" t="s">
        <v>9</v>
      </c>
      <c r="AK17" s="102"/>
      <c r="AL17" s="92">
        <f t="shared" ref="AL17:AL23" si="5">SUMPRODUCT((G17:AK17="SD")*12 + (G17:AK17="SN")*12 + (G17:AK17="MT")*8 + (G17:AK17="M")*6 + (G17:AK17="T")*6)</f>
        <v>144</v>
      </c>
    </row>
    <row r="18" spans="1:38" ht="18" customHeight="1" x14ac:dyDescent="0.2">
      <c r="A18" s="73"/>
      <c r="B18" s="63" t="s">
        <v>29</v>
      </c>
      <c r="C18" s="76" t="s">
        <v>18</v>
      </c>
      <c r="D18" s="76" t="s">
        <v>19</v>
      </c>
      <c r="E18" s="78">
        <v>36</v>
      </c>
      <c r="F18" s="91">
        <f t="array" ref="F18">SUMPRODUCT((G18:AK18="SD")+(G18:AK18="SN")+(G18:AK18="MT")+(G18:AK18="8H")+(G18:AK18="N")+(G18:AK18="M")+(G18:AK18="T")+(G18:AK18="AE")+(G18:AK18="AB")+(G18:AK18="AA")+(G18:AK18="FC"))</f>
        <v>13</v>
      </c>
      <c r="G18" s="62"/>
      <c r="H18" s="57"/>
      <c r="I18" s="103" t="s">
        <v>75</v>
      </c>
      <c r="J18" s="102"/>
      <c r="K18" s="56" t="s">
        <v>9</v>
      </c>
      <c r="L18" s="57"/>
      <c r="M18" s="56" t="s">
        <v>9</v>
      </c>
      <c r="N18" s="57"/>
      <c r="O18" s="56" t="s">
        <v>9</v>
      </c>
      <c r="P18" s="102"/>
      <c r="Q18" s="102"/>
      <c r="R18" s="56" t="s">
        <v>75</v>
      </c>
      <c r="S18" s="107"/>
      <c r="T18" s="57"/>
      <c r="U18" s="56" t="s">
        <v>74</v>
      </c>
      <c r="V18" s="57"/>
      <c r="W18" s="103" t="s">
        <v>9</v>
      </c>
      <c r="X18" s="102"/>
      <c r="Y18" s="57"/>
      <c r="Z18" s="56" t="s">
        <v>9</v>
      </c>
      <c r="AA18" s="57"/>
      <c r="AB18" s="56" t="s">
        <v>9</v>
      </c>
      <c r="AC18" s="57"/>
      <c r="AD18" s="102"/>
      <c r="AE18" s="103" t="s">
        <v>75</v>
      </c>
      <c r="AF18" s="57"/>
      <c r="AG18" s="56" t="s">
        <v>9</v>
      </c>
      <c r="AH18" s="57"/>
      <c r="AI18" s="56" t="s">
        <v>9</v>
      </c>
      <c r="AJ18" s="107"/>
      <c r="AK18" s="103" t="s">
        <v>75</v>
      </c>
      <c r="AL18" s="92">
        <f t="shared" si="5"/>
        <v>156</v>
      </c>
    </row>
    <row r="19" spans="1:38" ht="18" customHeight="1" x14ac:dyDescent="0.2">
      <c r="A19" s="73"/>
      <c r="B19" s="63" t="s">
        <v>30</v>
      </c>
      <c r="C19" s="76" t="s">
        <v>18</v>
      </c>
      <c r="D19" s="76" t="s">
        <v>19</v>
      </c>
      <c r="E19" s="78">
        <v>36</v>
      </c>
      <c r="F19" s="91">
        <f t="array" ref="F19">SUMPRODUCT((G19:AK19="SD")+(G19:AK19="SN")+(G19:AK19="MT")+(G19:AK19="8H")+(G19:AK19="N")+(G19:AK19="M")+(G19:AK19="T")+(G19:AK19="AE")+(G19:AK19="AB")+(G19:AK19="AA")+(G19:AK19="FC"))</f>
        <v>13</v>
      </c>
      <c r="G19" s="62"/>
      <c r="H19" s="56" t="s">
        <v>9</v>
      </c>
      <c r="I19" s="102"/>
      <c r="J19" s="104" t="s">
        <v>8</v>
      </c>
      <c r="K19" s="57"/>
      <c r="L19" s="56" t="s">
        <v>9</v>
      </c>
      <c r="M19" s="57"/>
      <c r="N19" s="57"/>
      <c r="O19" s="56" t="s">
        <v>9</v>
      </c>
      <c r="P19" s="102"/>
      <c r="Q19" s="102"/>
      <c r="R19" s="56" t="s">
        <v>75</v>
      </c>
      <c r="S19" s="107"/>
      <c r="T19" s="56" t="s">
        <v>76</v>
      </c>
      <c r="U19" s="57"/>
      <c r="V19" s="56"/>
      <c r="W19" s="102" t="s">
        <v>9</v>
      </c>
      <c r="X19" s="103" t="s">
        <v>75</v>
      </c>
      <c r="Y19" s="57"/>
      <c r="Z19" s="56" t="s">
        <v>9</v>
      </c>
      <c r="AA19" s="57"/>
      <c r="AB19" s="57"/>
      <c r="AC19" s="56" t="s">
        <v>9</v>
      </c>
      <c r="AD19" s="102"/>
      <c r="AE19" s="102"/>
      <c r="AF19" s="56" t="s">
        <v>9</v>
      </c>
      <c r="AG19" s="57"/>
      <c r="AH19" s="56" t="s">
        <v>75</v>
      </c>
      <c r="AI19" s="57"/>
      <c r="AJ19" s="108" t="s">
        <v>9</v>
      </c>
      <c r="AK19" s="102"/>
      <c r="AL19" s="92">
        <f t="shared" si="5"/>
        <v>156</v>
      </c>
    </row>
    <row r="20" spans="1:38" ht="18" customHeight="1" x14ac:dyDescent="0.2">
      <c r="A20" s="73"/>
      <c r="B20" s="63" t="s">
        <v>31</v>
      </c>
      <c r="C20" s="76" t="s">
        <v>18</v>
      </c>
      <c r="D20" s="76" t="s">
        <v>19</v>
      </c>
      <c r="E20" s="78">
        <v>36</v>
      </c>
      <c r="F20" s="91">
        <f t="array" ref="F20">SUMPRODUCT((G20:AK20="SD")+(G20:AK20="SN")+(G20:AK20="MT")+(G20:AK20="8H")+(G20:AK20="N")+(G20:AK20="M")+(G20:AK20="T")+(G20:AK20="AE")+(G20:AK20="AB")+(G20:AK20="AA")+(G20:AK20="FC"))</f>
        <v>13</v>
      </c>
      <c r="G20" s="62"/>
      <c r="H20" s="56" t="s">
        <v>75</v>
      </c>
      <c r="I20" s="102"/>
      <c r="J20" s="102"/>
      <c r="K20" s="56"/>
      <c r="L20" s="57"/>
      <c r="M20" s="56" t="s">
        <v>75</v>
      </c>
      <c r="N20" s="57"/>
      <c r="O20" s="57"/>
      <c r="P20" s="103" t="s">
        <v>9</v>
      </c>
      <c r="Q20" s="103"/>
      <c r="R20" s="56" t="s">
        <v>9</v>
      </c>
      <c r="S20" s="108" t="s">
        <v>9</v>
      </c>
      <c r="T20" s="64"/>
      <c r="U20" s="64" t="s">
        <v>8</v>
      </c>
      <c r="V20" s="57"/>
      <c r="W20" s="102" t="s">
        <v>9</v>
      </c>
      <c r="X20" s="103" t="s">
        <v>75</v>
      </c>
      <c r="Y20" s="57"/>
      <c r="Z20" s="57"/>
      <c r="AA20" s="56"/>
      <c r="AB20" s="57"/>
      <c r="AC20" s="57"/>
      <c r="AD20" s="104" t="s">
        <v>8</v>
      </c>
      <c r="AE20" s="102"/>
      <c r="AF20" s="56" t="s">
        <v>9</v>
      </c>
      <c r="AG20" s="57"/>
      <c r="AH20" s="57" t="s">
        <v>9</v>
      </c>
      <c r="AI20" s="56" t="s">
        <v>9</v>
      </c>
      <c r="AJ20" s="107"/>
      <c r="AK20" s="103" t="s">
        <v>75</v>
      </c>
      <c r="AL20" s="92">
        <f t="shared" si="5"/>
        <v>156</v>
      </c>
    </row>
    <row r="21" spans="1:38" ht="18" customHeight="1" x14ac:dyDescent="0.2">
      <c r="A21" s="73"/>
      <c r="B21" s="63" t="s">
        <v>33</v>
      </c>
      <c r="C21" s="76" t="s">
        <v>18</v>
      </c>
      <c r="D21" s="76" t="s">
        <v>19</v>
      </c>
      <c r="E21" s="78">
        <v>36</v>
      </c>
      <c r="F21" s="91">
        <f t="array" ref="F21">SUMPRODUCT((G21:AK21="SD")+(G21:AK21="SN")+(G21:AK21="MT")+(G21:AK21="8H")+(G21:AK21="N")+(G21:AK21="M")+(G21:AK21="T")+(G21:AK21="AE")+(G21:AK21="AB")+(G21:AK21="AA")+(G21:AK21="FC"))</f>
        <v>13</v>
      </c>
      <c r="G21" s="62"/>
      <c r="H21" s="56"/>
      <c r="I21" s="102" t="s">
        <v>9</v>
      </c>
      <c r="J21" s="104"/>
      <c r="K21" s="64" t="s">
        <v>8</v>
      </c>
      <c r="L21" s="56"/>
      <c r="M21" s="57"/>
      <c r="N21" s="57" t="s">
        <v>9</v>
      </c>
      <c r="O21" s="56"/>
      <c r="P21" s="102"/>
      <c r="Q21" s="102"/>
      <c r="R21" s="56" t="s">
        <v>9</v>
      </c>
      <c r="S21" s="107"/>
      <c r="T21" s="56" t="s">
        <v>8</v>
      </c>
      <c r="U21" s="57"/>
      <c r="V21" s="64" t="s">
        <v>8</v>
      </c>
      <c r="W21" s="102"/>
      <c r="X21" s="103" t="s">
        <v>9</v>
      </c>
      <c r="Y21" s="57"/>
      <c r="Z21" s="56" t="s">
        <v>8</v>
      </c>
      <c r="AA21" s="57"/>
      <c r="AB21" s="57" t="s">
        <v>9</v>
      </c>
      <c r="AC21" s="56"/>
      <c r="AD21" s="104" t="s">
        <v>8</v>
      </c>
      <c r="AE21" s="102"/>
      <c r="AF21" s="56" t="s">
        <v>9</v>
      </c>
      <c r="AG21" s="57"/>
      <c r="AH21" s="56" t="s">
        <v>9</v>
      </c>
      <c r="AI21" s="57"/>
      <c r="AJ21" s="149" t="s">
        <v>8</v>
      </c>
      <c r="AK21" s="102"/>
      <c r="AL21" s="92">
        <f t="shared" si="5"/>
        <v>156</v>
      </c>
    </row>
    <row r="22" spans="1:38" ht="18" customHeight="1" x14ac:dyDescent="0.2">
      <c r="A22" s="73"/>
      <c r="B22" s="63" t="s">
        <v>85</v>
      </c>
      <c r="C22" s="76" t="s">
        <v>18</v>
      </c>
      <c r="D22" s="76" t="s">
        <v>19</v>
      </c>
      <c r="E22" s="78">
        <v>36</v>
      </c>
      <c r="F22" s="91">
        <f t="array" ref="F22">SUMPRODUCT((G22:AK22="SD")+(G22:AK22="SN")+(G22:AK22="MT")+(G22:AK22="8H")+(G22:AK22="N")+(G22:AK22="M")+(G22:AK22="T")+(G22:AK22="AE")+(G22:AK22="AB")+(G22:AK22="AA")+(G22:AK22="FC"))</f>
        <v>13</v>
      </c>
      <c r="G22" s="62"/>
      <c r="H22" s="56" t="s">
        <v>9</v>
      </c>
      <c r="I22" s="102"/>
      <c r="J22" s="104" t="s">
        <v>8</v>
      </c>
      <c r="K22" s="64"/>
      <c r="L22" s="56" t="s">
        <v>9</v>
      </c>
      <c r="M22" s="57"/>
      <c r="N22" s="64" t="s">
        <v>8</v>
      </c>
      <c r="O22" s="56"/>
      <c r="P22" s="102"/>
      <c r="Q22" s="102"/>
      <c r="R22" s="56" t="s">
        <v>9</v>
      </c>
      <c r="S22" s="107"/>
      <c r="T22" s="56" t="s">
        <v>8</v>
      </c>
      <c r="U22" s="57"/>
      <c r="V22" s="64"/>
      <c r="W22" s="102" t="s">
        <v>9</v>
      </c>
      <c r="X22" s="103"/>
      <c r="Y22" s="64" t="s">
        <v>8</v>
      </c>
      <c r="Z22" s="56"/>
      <c r="AA22" s="57" t="s">
        <v>9</v>
      </c>
      <c r="AB22" s="57"/>
      <c r="AC22" s="56" t="s">
        <v>8</v>
      </c>
      <c r="AD22" s="104"/>
      <c r="AE22" s="102" t="s">
        <v>9</v>
      </c>
      <c r="AF22" s="56"/>
      <c r="AG22" s="57" t="s">
        <v>8</v>
      </c>
      <c r="AH22" s="56"/>
      <c r="AI22" s="57"/>
      <c r="AJ22" s="149" t="s">
        <v>8</v>
      </c>
      <c r="AK22" s="102"/>
      <c r="AL22" s="92">
        <f t="shared" si="5"/>
        <v>156</v>
      </c>
    </row>
    <row r="23" spans="1:38" ht="18" customHeight="1" x14ac:dyDescent="0.2">
      <c r="A23" s="73"/>
      <c r="B23" s="63" t="s">
        <v>35</v>
      </c>
      <c r="C23" s="76" t="s">
        <v>18</v>
      </c>
      <c r="D23" s="76" t="s">
        <v>19</v>
      </c>
      <c r="E23" s="78">
        <v>36</v>
      </c>
      <c r="F23" s="91">
        <f t="array" ref="F23">SUMPRODUCT((G23:AK23="SD")+(G23:AK23="SN")+(G23:AK23="MT")+(G23:AK23="8H")+(G23:AK23="N")+(G23:AK23="M")+(G23:AK23="T")+(G23:AK23="AE")+(G23:AK23="AB")+(G23:AK23="AA")+(G23:AK23="FC"))</f>
        <v>13</v>
      </c>
      <c r="G23" s="58" t="s">
        <v>8</v>
      </c>
      <c r="H23" s="56"/>
      <c r="I23" s="102" t="s">
        <v>9</v>
      </c>
      <c r="J23" s="103"/>
      <c r="K23" s="57"/>
      <c r="L23" s="64" t="s">
        <v>8</v>
      </c>
      <c r="M23" s="57"/>
      <c r="N23" s="64"/>
      <c r="O23" s="56" t="s">
        <v>9</v>
      </c>
      <c r="P23" s="102"/>
      <c r="Q23" s="102"/>
      <c r="R23" s="56" t="s">
        <v>9</v>
      </c>
      <c r="S23" s="107"/>
      <c r="T23" s="56" t="s">
        <v>8</v>
      </c>
      <c r="U23" s="57"/>
      <c r="V23" s="64"/>
      <c r="W23" s="102" t="s">
        <v>9</v>
      </c>
      <c r="X23" s="103"/>
      <c r="Y23" s="64" t="s">
        <v>8</v>
      </c>
      <c r="Z23" s="56"/>
      <c r="AA23" s="57" t="s">
        <v>9</v>
      </c>
      <c r="AB23" s="57"/>
      <c r="AC23" s="56" t="s">
        <v>8</v>
      </c>
      <c r="AD23" s="104"/>
      <c r="AE23" s="102"/>
      <c r="AF23" s="56" t="s">
        <v>9</v>
      </c>
      <c r="AG23" s="57"/>
      <c r="AH23" s="64" t="s">
        <v>8</v>
      </c>
      <c r="AI23" s="57"/>
      <c r="AJ23" s="108"/>
      <c r="AK23" s="102" t="s">
        <v>9</v>
      </c>
      <c r="AL23" s="92">
        <f t="shared" si="5"/>
        <v>156</v>
      </c>
    </row>
    <row r="24" spans="1:38" ht="18" customHeight="1" x14ac:dyDescent="0.2">
      <c r="A24" s="73"/>
      <c r="B24" s="63" t="s">
        <v>34</v>
      </c>
      <c r="C24" s="76" t="s">
        <v>18</v>
      </c>
      <c r="D24" s="76" t="s">
        <v>19</v>
      </c>
      <c r="E24" s="78">
        <v>36</v>
      </c>
      <c r="F24" s="91">
        <f t="array" ref="F24">SUMPRODUCT((G24:AK24="SD")+(G24:AK24="SN")+(G24:AK24="MT")+(G24:AK24="8H")+(G24:AK24="N")+(G24:AK24="M")+(G24:AK24="T")+(G24:AK24="AE")+(G24:AK24="AB")+(G24:AK24="AA")+(G24:AK24="FC"))</f>
        <v>13</v>
      </c>
      <c r="G24" s="62"/>
      <c r="H24" s="56" t="s">
        <v>9</v>
      </c>
      <c r="I24" s="102"/>
      <c r="J24" s="103"/>
      <c r="K24" s="64" t="s">
        <v>8</v>
      </c>
      <c r="L24" s="56"/>
      <c r="M24" s="57"/>
      <c r="N24" s="64" t="s">
        <v>8</v>
      </c>
      <c r="O24" s="56"/>
      <c r="P24" s="102" t="s">
        <v>9</v>
      </c>
      <c r="Q24" s="102"/>
      <c r="R24" s="56" t="s">
        <v>9</v>
      </c>
      <c r="S24" s="107"/>
      <c r="T24" s="56" t="s">
        <v>9</v>
      </c>
      <c r="U24" s="57"/>
      <c r="V24" s="64" t="s">
        <v>8</v>
      </c>
      <c r="W24" s="102"/>
      <c r="X24" s="103" t="s">
        <v>9</v>
      </c>
      <c r="Y24" s="64"/>
      <c r="Z24" s="56" t="s">
        <v>8</v>
      </c>
      <c r="AA24" s="57"/>
      <c r="AB24" s="57" t="s">
        <v>9</v>
      </c>
      <c r="AC24" s="56"/>
      <c r="AD24" s="104"/>
      <c r="AE24" s="102" t="s">
        <v>9</v>
      </c>
      <c r="AF24" s="56"/>
      <c r="AG24" s="57"/>
      <c r="AH24" s="56"/>
      <c r="AI24" s="57" t="s">
        <v>9</v>
      </c>
      <c r="AJ24" s="108"/>
      <c r="AK24" s="104" t="s">
        <v>8</v>
      </c>
      <c r="AL24" s="92">
        <v>156</v>
      </c>
    </row>
    <row r="25" spans="1:38" ht="18" customHeight="1" x14ac:dyDescent="0.2">
      <c r="A25" s="73"/>
      <c r="B25" s="63" t="s">
        <v>36</v>
      </c>
      <c r="C25" s="76" t="s">
        <v>18</v>
      </c>
      <c r="D25" s="76" t="s">
        <v>19</v>
      </c>
      <c r="E25" s="78">
        <v>36</v>
      </c>
      <c r="F25" s="91">
        <f t="array" ref="F25">SUMPRODUCT((G25:AK25="SD")+(G25:AK25="SN")+(G25:AK25="MT")+(G25:AK25="8H")+(G25:AK25="N")+(G25:AK25="M")+(G25:AK25="T")+(G25:AK25="AE")+(G25:AK25="AB")+(G25:AK25="AA")+(G25:AK25="FC"))</f>
        <v>13</v>
      </c>
      <c r="G25" s="62" t="s">
        <v>9</v>
      </c>
      <c r="H25" s="56"/>
      <c r="I25" s="102" t="s">
        <v>9</v>
      </c>
      <c r="J25" s="102"/>
      <c r="K25" s="56"/>
      <c r="L25" s="57" t="s">
        <v>9</v>
      </c>
      <c r="M25" s="56"/>
      <c r="N25" s="64" t="s">
        <v>8</v>
      </c>
      <c r="O25" s="57"/>
      <c r="P25" s="103"/>
      <c r="Q25" s="103" t="s">
        <v>9</v>
      </c>
      <c r="R25" s="56"/>
      <c r="S25" s="149" t="s">
        <v>8</v>
      </c>
      <c r="T25" s="64"/>
      <c r="U25" s="56"/>
      <c r="V25" s="57" t="s">
        <v>9</v>
      </c>
      <c r="W25" s="102"/>
      <c r="X25" s="103"/>
      <c r="Y25" s="64" t="s">
        <v>8</v>
      </c>
      <c r="Z25" s="57"/>
      <c r="AA25" s="56"/>
      <c r="AB25" s="57" t="s">
        <v>9</v>
      </c>
      <c r="AC25" s="57"/>
      <c r="AD25" s="104" t="s">
        <v>8</v>
      </c>
      <c r="AE25" s="102"/>
      <c r="AF25" s="56"/>
      <c r="AG25" s="57" t="s">
        <v>9</v>
      </c>
      <c r="AH25" s="57"/>
      <c r="AI25" s="64" t="s">
        <v>8</v>
      </c>
      <c r="AJ25" s="107"/>
      <c r="AK25" s="103" t="s">
        <v>9</v>
      </c>
      <c r="AL25" s="92">
        <f t="shared" ref="AL25:AL34" si="6">SUMPRODUCT((G25:AK25="SD")*12 + (G25:AK25="SN")*12 + (G25:AK25="MT")*8 + (G25:AK25="M")*6 + (G25:AK25="T")*6)</f>
        <v>156</v>
      </c>
    </row>
    <row r="26" spans="1:38" ht="18" customHeight="1" x14ac:dyDescent="0.2">
      <c r="A26" s="73"/>
      <c r="B26" s="63" t="s">
        <v>65</v>
      </c>
      <c r="C26" s="76" t="s">
        <v>18</v>
      </c>
      <c r="D26" s="76" t="s">
        <v>19</v>
      </c>
      <c r="E26" s="78">
        <v>36</v>
      </c>
      <c r="F26" s="91">
        <f t="array" ref="F26">SUMPRODUCT((G26:AK26="SD")+(G26:AK26="SN")+(G26:AK26="MT")+(G26:AK26="8H")+(G26:AK26="N")+(G26:AK26="M")+(G26:AK26="T")+(G26:AK26="AE")+(G26:AK26="AB")+(G26:AK26="AA")+(G26:AK26="FC"))</f>
        <v>12</v>
      </c>
      <c r="G26" s="62"/>
      <c r="H26" s="56"/>
      <c r="I26" s="102"/>
      <c r="J26" s="102"/>
      <c r="K26" s="56"/>
      <c r="L26" s="57"/>
      <c r="M26" s="56" t="s">
        <v>9</v>
      </c>
      <c r="N26" s="57"/>
      <c r="O26" s="64" t="s">
        <v>8</v>
      </c>
      <c r="P26" s="103"/>
      <c r="Q26" s="103" t="s">
        <v>9</v>
      </c>
      <c r="R26" s="56"/>
      <c r="S26" s="149" t="s">
        <v>8</v>
      </c>
      <c r="T26" s="64"/>
      <c r="U26" s="56"/>
      <c r="V26" s="57" t="s">
        <v>9</v>
      </c>
      <c r="W26" s="102"/>
      <c r="X26" s="104" t="s">
        <v>8</v>
      </c>
      <c r="Y26" s="64"/>
      <c r="Z26" s="57"/>
      <c r="AA26" s="56" t="s">
        <v>9</v>
      </c>
      <c r="AB26" s="57"/>
      <c r="AC26" s="64" t="s">
        <v>8</v>
      </c>
      <c r="AD26" s="103"/>
      <c r="AE26" s="102"/>
      <c r="AF26" s="56" t="s">
        <v>9</v>
      </c>
      <c r="AG26" s="57"/>
      <c r="AH26" s="64" t="s">
        <v>8</v>
      </c>
      <c r="AI26" s="64"/>
      <c r="AJ26" s="107" t="s">
        <v>9</v>
      </c>
      <c r="AK26" s="104" t="s">
        <v>8</v>
      </c>
      <c r="AL26" s="92">
        <f t="shared" si="6"/>
        <v>144</v>
      </c>
    </row>
    <row r="27" spans="1:38" s="60" customFormat="1" ht="18" customHeight="1" x14ac:dyDescent="0.2">
      <c r="A27" s="73"/>
      <c r="B27" s="156" t="s">
        <v>73</v>
      </c>
      <c r="C27" s="157" t="s">
        <v>18</v>
      </c>
      <c r="D27" s="76" t="s">
        <v>19</v>
      </c>
      <c r="E27" s="78">
        <v>36</v>
      </c>
      <c r="F27" s="91">
        <f t="array" ref="F27">SUMPRODUCT((G27:AK27="SD")+(G27:AK27="SN")+(G27:AK27="MT")+(G27:AK27="8H")+(G27:AK27="N")+(G27:AK27="M")+(G27:AK27="T")+(G27:AK27="AE")+(G27:AK27="AB")+(G27:AK27="AA")+(G27:AK27="FC"))</f>
        <v>13</v>
      </c>
      <c r="G27" s="158" t="s">
        <v>75</v>
      </c>
      <c r="H27" s="89"/>
      <c r="I27" s="105"/>
      <c r="J27" s="106" t="s">
        <v>9</v>
      </c>
      <c r="K27" s="89"/>
      <c r="L27" s="61" t="s">
        <v>9</v>
      </c>
      <c r="M27" s="61" t="s">
        <v>75</v>
      </c>
      <c r="N27" s="95"/>
      <c r="O27" s="95"/>
      <c r="P27" s="106" t="s">
        <v>9</v>
      </c>
      <c r="Q27" s="105"/>
      <c r="R27" s="87" t="s">
        <v>75</v>
      </c>
      <c r="S27" s="95"/>
      <c r="T27" s="95"/>
      <c r="U27" s="87" t="s">
        <v>9</v>
      </c>
      <c r="V27" s="95"/>
      <c r="W27" s="106" t="s">
        <v>75</v>
      </c>
      <c r="X27" s="105"/>
      <c r="Y27" s="90"/>
      <c r="Z27" s="87" t="s">
        <v>9</v>
      </c>
      <c r="AA27" s="95"/>
      <c r="AB27" s="87" t="s">
        <v>75</v>
      </c>
      <c r="AC27" s="95"/>
      <c r="AD27" s="105"/>
      <c r="AE27" s="106" t="s">
        <v>9</v>
      </c>
      <c r="AF27" s="89"/>
      <c r="AG27" s="61" t="s">
        <v>75</v>
      </c>
      <c r="AH27" s="89"/>
      <c r="AI27" s="154" t="s">
        <v>8</v>
      </c>
      <c r="AJ27" s="95"/>
      <c r="AK27" s="105"/>
      <c r="AL27" s="159">
        <f t="shared" si="6"/>
        <v>156</v>
      </c>
    </row>
    <row r="28" spans="1:38" s="60" customFormat="1" ht="18" customHeight="1" x14ac:dyDescent="0.25">
      <c r="A28" s="160">
        <v>17855</v>
      </c>
      <c r="B28" s="156" t="s">
        <v>79</v>
      </c>
      <c r="C28" s="157" t="s">
        <v>18</v>
      </c>
      <c r="D28" s="76" t="s">
        <v>19</v>
      </c>
      <c r="E28" s="78">
        <v>36</v>
      </c>
      <c r="F28" s="91">
        <f t="array" ref="F28">SUMPRODUCT((G28:AK28="SD")+(G28:AK28="SN")+(G28:AK28="MT")+(G28:AK28="8H")+(G28:AK28="N")+(G28:AK28="M")+(G28:AK28="T")+(G28:AK28="AE")+(G28:AK28="AB")+(G28:AK28="AA")+(G28:AK28="FC"))</f>
        <v>13</v>
      </c>
      <c r="G28" s="94"/>
      <c r="H28" s="61" t="s">
        <v>75</v>
      </c>
      <c r="I28" s="105"/>
      <c r="J28" s="106" t="s">
        <v>9</v>
      </c>
      <c r="K28" s="89"/>
      <c r="L28" s="61" t="s">
        <v>75</v>
      </c>
      <c r="M28" s="89"/>
      <c r="N28" s="89"/>
      <c r="O28" s="61" t="s">
        <v>9</v>
      </c>
      <c r="P28" s="106" t="s">
        <v>75</v>
      </c>
      <c r="Q28" s="105"/>
      <c r="R28" s="95"/>
      <c r="S28" s="87" t="s">
        <v>9</v>
      </c>
      <c r="T28" s="95"/>
      <c r="U28" s="87" t="s">
        <v>75</v>
      </c>
      <c r="V28" s="95"/>
      <c r="W28" s="105"/>
      <c r="X28" s="106" t="s">
        <v>9</v>
      </c>
      <c r="Y28" s="90"/>
      <c r="Z28" s="87" t="s">
        <v>75</v>
      </c>
      <c r="AA28" s="95"/>
      <c r="AB28" s="87" t="s">
        <v>9</v>
      </c>
      <c r="AC28" s="95"/>
      <c r="AD28" s="105"/>
      <c r="AE28" s="106" t="s">
        <v>9</v>
      </c>
      <c r="AF28" s="89"/>
      <c r="AG28" s="89"/>
      <c r="AH28" s="61" t="s">
        <v>9</v>
      </c>
      <c r="AI28" s="95"/>
      <c r="AJ28" s="90" t="s">
        <v>8</v>
      </c>
      <c r="AK28" s="105"/>
      <c r="AL28" s="159">
        <f t="shared" si="6"/>
        <v>156</v>
      </c>
    </row>
    <row r="29" spans="1:38" s="60" customFormat="1" ht="18" customHeight="1" x14ac:dyDescent="0.25">
      <c r="A29" s="160">
        <v>17873</v>
      </c>
      <c r="B29" s="156" t="s">
        <v>80</v>
      </c>
      <c r="C29" s="157" t="s">
        <v>18</v>
      </c>
      <c r="D29" s="76" t="s">
        <v>19</v>
      </c>
      <c r="E29" s="78">
        <v>36</v>
      </c>
      <c r="F29" s="91">
        <f t="array" ref="F29">SUMPRODUCT((G29:AK29="SD")+(G29:AK29="SN")+(G29:AK29="MT")+(G29:AK29="8H")+(G29:AK29="N")+(G29:AK29="M")+(G29:AK29="T")+(G29:AK29="AE")+(G29:AK29="AB")+(G29:AK29="AA")+(G29:AK29="FC"))</f>
        <v>13</v>
      </c>
      <c r="G29" s="94"/>
      <c r="H29" s="61" t="s">
        <v>75</v>
      </c>
      <c r="I29" s="105"/>
      <c r="J29" s="106" t="s">
        <v>9</v>
      </c>
      <c r="K29" s="89"/>
      <c r="L29" s="61" t="s">
        <v>75</v>
      </c>
      <c r="M29" s="89"/>
      <c r="N29" s="89"/>
      <c r="O29" s="61" t="s">
        <v>9</v>
      </c>
      <c r="P29" s="106" t="s">
        <v>75</v>
      </c>
      <c r="Q29" s="105"/>
      <c r="R29" s="95"/>
      <c r="S29" s="87"/>
      <c r="T29" s="95"/>
      <c r="U29" s="87" t="s">
        <v>75</v>
      </c>
      <c r="V29" s="95"/>
      <c r="W29" s="105"/>
      <c r="X29" s="106" t="s">
        <v>9</v>
      </c>
      <c r="Y29" s="90"/>
      <c r="Z29" s="87" t="s">
        <v>75</v>
      </c>
      <c r="AA29" s="95"/>
      <c r="AB29" s="87" t="s">
        <v>9</v>
      </c>
      <c r="AC29" s="95"/>
      <c r="AD29" s="105"/>
      <c r="AE29" s="106" t="s">
        <v>9</v>
      </c>
      <c r="AF29" s="89" t="s">
        <v>9</v>
      </c>
      <c r="AG29" s="89"/>
      <c r="AH29" s="61" t="s">
        <v>9</v>
      </c>
      <c r="AI29" s="95"/>
      <c r="AJ29" s="90" t="s">
        <v>8</v>
      </c>
      <c r="AK29" s="105"/>
      <c r="AL29" s="159">
        <f t="shared" si="6"/>
        <v>156</v>
      </c>
    </row>
    <row r="30" spans="1:38" s="60" customFormat="1" ht="18" customHeight="1" x14ac:dyDescent="0.25">
      <c r="A30" s="160">
        <v>17878</v>
      </c>
      <c r="B30" s="156" t="s">
        <v>81</v>
      </c>
      <c r="C30" s="157" t="s">
        <v>18</v>
      </c>
      <c r="D30" s="76" t="s">
        <v>19</v>
      </c>
      <c r="E30" s="78">
        <v>36</v>
      </c>
      <c r="F30" s="91">
        <f t="array" ref="F30">SUMPRODUCT((G30:AK30="SD")+(G30:AK30="SN")+(G30:AK30="MT")+(G30:AK30="8H")+(G30:AK30="N")+(G30:AK30="M")+(G30:AK30="T")+(G30:AK30="AE")+(G30:AK30="AB")+(G30:AK30="AA")+(G30:AK30="FC"))</f>
        <v>13</v>
      </c>
      <c r="G30" s="94"/>
      <c r="H30" s="61" t="s">
        <v>75</v>
      </c>
      <c r="I30" s="105"/>
      <c r="J30" s="106" t="s">
        <v>9</v>
      </c>
      <c r="K30" s="89"/>
      <c r="L30" s="61" t="s">
        <v>75</v>
      </c>
      <c r="M30" s="89"/>
      <c r="N30" s="89"/>
      <c r="O30" s="61" t="s">
        <v>9</v>
      </c>
      <c r="P30" s="106" t="s">
        <v>75</v>
      </c>
      <c r="Q30" s="105"/>
      <c r="R30" s="95"/>
      <c r="S30" s="87"/>
      <c r="T30" s="95"/>
      <c r="U30" s="87" t="s">
        <v>75</v>
      </c>
      <c r="V30" s="95"/>
      <c r="W30" s="105"/>
      <c r="X30" s="106" t="s">
        <v>9</v>
      </c>
      <c r="Y30" s="90"/>
      <c r="Z30" s="87" t="s">
        <v>75</v>
      </c>
      <c r="AA30" s="90" t="s">
        <v>8</v>
      </c>
      <c r="AB30" s="95"/>
      <c r="AC30" s="87" t="s">
        <v>9</v>
      </c>
      <c r="AD30" s="105"/>
      <c r="AE30" s="106" t="s">
        <v>9</v>
      </c>
      <c r="AF30" s="89"/>
      <c r="AG30" s="89"/>
      <c r="AH30" s="61" t="s">
        <v>9</v>
      </c>
      <c r="AI30" s="95"/>
      <c r="AJ30" s="90" t="s">
        <v>8</v>
      </c>
      <c r="AK30" s="94"/>
      <c r="AL30" s="159">
        <f t="shared" si="6"/>
        <v>156</v>
      </c>
    </row>
    <row r="31" spans="1:38" s="60" customFormat="1" ht="18" customHeight="1" x14ac:dyDescent="0.25">
      <c r="A31" s="160">
        <v>1694</v>
      </c>
      <c r="B31" s="156" t="s">
        <v>54</v>
      </c>
      <c r="C31" s="157" t="s">
        <v>18</v>
      </c>
      <c r="D31" s="76" t="s">
        <v>19</v>
      </c>
      <c r="E31" s="78">
        <v>36</v>
      </c>
      <c r="F31" s="91">
        <f t="array" ref="F31">SUMPRODUCT((G31:AK31="SD")+(G31:AK31="SN")+(G31:AK31="MT")+(G31:AK31="8H")+(G31:AK31="N")+(G31:AK31="M")+(G31:AK31="T")+(G31:AK31="AE")+(G31:AK31="AB")+(G31:AK31="AA")+(G31:AK31="FC"))</f>
        <v>13</v>
      </c>
      <c r="G31" s="94"/>
      <c r="H31" s="89"/>
      <c r="I31" s="106" t="s">
        <v>9</v>
      </c>
      <c r="J31" s="105"/>
      <c r="K31" s="61" t="s">
        <v>75</v>
      </c>
      <c r="L31" s="89"/>
      <c r="M31" s="61" t="s">
        <v>75</v>
      </c>
      <c r="N31" s="89"/>
      <c r="O31" s="89"/>
      <c r="P31" s="106" t="s">
        <v>75</v>
      </c>
      <c r="Q31" s="105"/>
      <c r="R31" s="95"/>
      <c r="S31" s="87" t="s">
        <v>9</v>
      </c>
      <c r="T31" s="88" t="s">
        <v>75</v>
      </c>
      <c r="U31" s="95"/>
      <c r="V31" s="95"/>
      <c r="W31" s="106" t="s">
        <v>9</v>
      </c>
      <c r="X31" s="105"/>
      <c r="Y31" s="154" t="s">
        <v>8</v>
      </c>
      <c r="Z31" s="95"/>
      <c r="AA31" s="95"/>
      <c r="AB31" s="87" t="s">
        <v>75</v>
      </c>
      <c r="AC31" s="95"/>
      <c r="AD31" s="106" t="s">
        <v>75</v>
      </c>
      <c r="AE31" s="105"/>
      <c r="AF31" s="61" t="s">
        <v>75</v>
      </c>
      <c r="AG31" s="89"/>
      <c r="AH31" s="89"/>
      <c r="AI31" s="88" t="s">
        <v>9</v>
      </c>
      <c r="AJ31" s="90" t="s">
        <v>8</v>
      </c>
      <c r="AK31" s="94"/>
      <c r="AL31" s="159">
        <f t="shared" si="6"/>
        <v>156</v>
      </c>
    </row>
    <row r="32" spans="1:38" s="60" customFormat="1" ht="18" customHeight="1" x14ac:dyDescent="0.25">
      <c r="A32" s="161"/>
      <c r="B32" s="156" t="s">
        <v>91</v>
      </c>
      <c r="C32" s="157" t="s">
        <v>18</v>
      </c>
      <c r="D32" s="76" t="s">
        <v>19</v>
      </c>
      <c r="E32" s="78">
        <v>36</v>
      </c>
      <c r="F32" s="91">
        <f t="array" ref="F32">SUMPRODUCT((G32:AK32="SD")+(G32:AK32="SN")+(G32:AK32="MT")+(G32:AK32="8H")+(G32:AK32="N")+(G32:AK32="M")+(G32:AK32="T")+(G32:AK32="AE")+(G32:AK32="AB")+(G32:AK32="AA")+(G32:AK32="FC"))</f>
        <v>9</v>
      </c>
      <c r="G32" s="105"/>
      <c r="H32" s="105"/>
      <c r="I32" s="106"/>
      <c r="J32" s="105"/>
      <c r="K32" s="106"/>
      <c r="L32" s="105"/>
      <c r="M32" s="106"/>
      <c r="N32" s="105"/>
      <c r="O32" s="105"/>
      <c r="P32" s="106"/>
      <c r="Q32" s="105"/>
      <c r="R32" s="105"/>
      <c r="S32" s="87"/>
      <c r="T32" s="88" t="s">
        <v>88</v>
      </c>
      <c r="U32" s="95" t="s">
        <v>88</v>
      </c>
      <c r="V32" s="95" t="s">
        <v>88</v>
      </c>
      <c r="W32" s="106"/>
      <c r="X32" s="105"/>
      <c r="Y32" s="88" t="s">
        <v>9</v>
      </c>
      <c r="Z32" s="95"/>
      <c r="AA32" s="90" t="s">
        <v>8</v>
      </c>
      <c r="AB32" s="87"/>
      <c r="AC32" s="95"/>
      <c r="AD32" s="106" t="s">
        <v>9</v>
      </c>
      <c r="AE32" s="105"/>
      <c r="AF32" s="152" t="s">
        <v>8</v>
      </c>
      <c r="AG32" s="152"/>
      <c r="AH32" s="89"/>
      <c r="AI32" s="88" t="s">
        <v>9</v>
      </c>
      <c r="AJ32" s="87"/>
      <c r="AK32" s="162" t="s">
        <v>8</v>
      </c>
      <c r="AL32" s="159">
        <f t="shared" si="6"/>
        <v>96</v>
      </c>
    </row>
    <row r="33" spans="1:38" s="60" customFormat="1" ht="18" customHeight="1" x14ac:dyDescent="0.25">
      <c r="A33" s="161"/>
      <c r="B33" s="156" t="s">
        <v>92</v>
      </c>
      <c r="C33" s="157" t="s">
        <v>18</v>
      </c>
      <c r="D33" s="76" t="s">
        <v>19</v>
      </c>
      <c r="E33" s="78">
        <v>36</v>
      </c>
      <c r="F33" s="91">
        <f t="array" ref="F33">SUMPRODUCT((G33:AK33="SD")+(G33:AK33="SN")+(G33:AK33="MT")+(G33:AK33="8H")+(G33:AK33="N")+(G33:AK33="M")+(G33:AK33="T")+(G33:AK33="AE")+(G33:AK33="AB")+(G33:AK33="AA")+(G33:AK33="FC"))</f>
        <v>8</v>
      </c>
      <c r="G33" s="105"/>
      <c r="H33" s="105"/>
      <c r="I33" s="106"/>
      <c r="J33" s="105"/>
      <c r="K33" s="106"/>
      <c r="L33" s="105"/>
      <c r="M33" s="106"/>
      <c r="N33" s="105"/>
      <c r="O33" s="105"/>
      <c r="P33" s="106"/>
      <c r="Q33" s="105"/>
      <c r="R33" s="105"/>
      <c r="S33" s="87" t="s">
        <v>9</v>
      </c>
      <c r="T33" s="88"/>
      <c r="U33" s="95" t="s">
        <v>9</v>
      </c>
      <c r="V33" s="95"/>
      <c r="W33" s="151" t="s">
        <v>8</v>
      </c>
      <c r="X33" s="105"/>
      <c r="Y33" s="88"/>
      <c r="Z33" s="95" t="s">
        <v>9</v>
      </c>
      <c r="AA33" s="95"/>
      <c r="AB33" s="90" t="s">
        <v>8</v>
      </c>
      <c r="AC33" s="95"/>
      <c r="AD33" s="106"/>
      <c r="AE33" s="105" t="s">
        <v>9</v>
      </c>
      <c r="AF33" s="61"/>
      <c r="AG33" s="152" t="s">
        <v>8</v>
      </c>
      <c r="AH33" s="89"/>
      <c r="AI33" s="88"/>
      <c r="AJ33" s="87" t="s">
        <v>9</v>
      </c>
      <c r="AK33" s="94"/>
      <c r="AL33" s="159">
        <f t="shared" si="6"/>
        <v>96</v>
      </c>
    </row>
    <row r="34" spans="1:38" s="60" customFormat="1" ht="24.75" customHeight="1" x14ac:dyDescent="0.25">
      <c r="A34" s="161"/>
      <c r="B34" s="156" t="s">
        <v>95</v>
      </c>
      <c r="C34" s="157" t="s">
        <v>18</v>
      </c>
      <c r="D34" s="76" t="s">
        <v>19</v>
      </c>
      <c r="E34" s="78">
        <v>36</v>
      </c>
      <c r="F34" s="91">
        <f t="array" ref="F34">SUMPRODUCT((G34:AK34="SD")+(G34:AK34="SN")+(G34:AK34="MT")+(G34:AK34="8H")+(G34:AK34="N")+(G34:AK34="M")+(G34:AK34="T")+(G34:AK34="AE")+(G34:AK34="AB")+(G34:AK34="AA")+(G34:AK34="FC"))</f>
        <v>8</v>
      </c>
      <c r="G34" s="105"/>
      <c r="H34" s="105"/>
      <c r="I34" s="106"/>
      <c r="J34" s="105"/>
      <c r="K34" s="106"/>
      <c r="L34" s="105"/>
      <c r="M34" s="106"/>
      <c r="N34" s="105"/>
      <c r="O34" s="105"/>
      <c r="P34" s="106"/>
      <c r="Q34" s="105"/>
      <c r="R34" s="105"/>
      <c r="S34" s="87"/>
      <c r="T34" s="88" t="s">
        <v>88</v>
      </c>
      <c r="U34" s="95" t="s">
        <v>88</v>
      </c>
      <c r="V34" s="95"/>
      <c r="W34" s="151" t="s">
        <v>8</v>
      </c>
      <c r="X34" s="105"/>
      <c r="Y34" s="88" t="s">
        <v>9</v>
      </c>
      <c r="Z34" s="95"/>
      <c r="AA34" s="90" t="s">
        <v>8</v>
      </c>
      <c r="AB34" s="90"/>
      <c r="AC34" s="95"/>
      <c r="AD34" s="106" t="s">
        <v>9</v>
      </c>
      <c r="AE34" s="105"/>
      <c r="AF34" s="152" t="s">
        <v>8</v>
      </c>
      <c r="AG34" s="152"/>
      <c r="AH34" s="89"/>
      <c r="AI34" s="154" t="s">
        <v>8</v>
      </c>
      <c r="AJ34" s="87"/>
      <c r="AK34" s="94"/>
      <c r="AL34" s="159">
        <f t="shared" si="6"/>
        <v>88</v>
      </c>
    </row>
    <row r="35" spans="1:38" ht="38.25" customHeight="1" x14ac:dyDescent="0.25">
      <c r="A35" s="163"/>
      <c r="B35" s="556" t="s">
        <v>0</v>
      </c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7" t="s">
        <v>86</v>
      </c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557"/>
      <c r="AF35" s="557"/>
      <c r="AG35" s="557"/>
      <c r="AH35" s="557"/>
      <c r="AI35" s="557"/>
      <c r="AJ35" s="557"/>
      <c r="AK35" s="557"/>
      <c r="AL35" s="558"/>
    </row>
  </sheetData>
  <mergeCells count="10">
    <mergeCell ref="B35:M35"/>
    <mergeCell ref="N35:AL35"/>
    <mergeCell ref="C1:AG1"/>
    <mergeCell ref="AH1:AL1"/>
    <mergeCell ref="A2:A3"/>
    <mergeCell ref="B2:E3"/>
    <mergeCell ref="G2:J2"/>
    <mergeCell ref="K2:O2"/>
    <mergeCell ref="T2:V2"/>
    <mergeCell ref="W2:AK2"/>
  </mergeCells>
  <pageMargins left="0.25" right="0.25" top="0.75" bottom="0.75" header="0.3" footer="0.3"/>
  <pageSetup paperSize="9" scale="7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C013-4B63-405F-B651-4EED31E68A6F}">
  <sheetPr>
    <pageSetUpPr fitToPage="1"/>
  </sheetPr>
  <dimension ref="A1:AI45"/>
  <sheetViews>
    <sheetView zoomScale="91" zoomScaleNormal="91" workbookViewId="0">
      <pane ySplit="5" topLeftCell="A27" activePane="bottomLeft" state="frozen"/>
      <selection pane="bottomLeft" activeCell="B40" sqref="B40"/>
    </sheetView>
  </sheetViews>
  <sheetFormatPr defaultRowHeight="13.2" x14ac:dyDescent="0.25"/>
  <cols>
    <col min="1" max="1" width="11.109375" customWidth="1"/>
    <col min="2" max="2" width="27" customWidth="1"/>
    <col min="3" max="3" width="13.6640625" customWidth="1"/>
    <col min="4" max="4" width="6.6640625" style="77" customWidth="1"/>
    <col min="5" max="5" width="3.77734375" style="79" customWidth="1"/>
    <col min="6" max="6" width="6" bestFit="1" customWidth="1"/>
    <col min="7" max="7" width="5.109375" bestFit="1" customWidth="1"/>
    <col min="8" max="9" width="4.44140625" bestFit="1" customWidth="1"/>
    <col min="10" max="10" width="4.109375" bestFit="1" customWidth="1"/>
    <col min="11" max="11" width="3.77734375" bestFit="1" customWidth="1"/>
    <col min="12" max="12" width="4.109375" bestFit="1" customWidth="1"/>
    <col min="13" max="13" width="4.6640625" bestFit="1" customWidth="1"/>
    <col min="14" max="14" width="5.109375" bestFit="1" customWidth="1"/>
    <col min="15" max="15" width="4.44140625" bestFit="1" customWidth="1"/>
    <col min="16" max="20" width="4.77734375" bestFit="1" customWidth="1"/>
    <col min="21" max="21" width="5.109375" bestFit="1" customWidth="1"/>
    <col min="22" max="27" width="4.77734375" bestFit="1" customWidth="1"/>
    <col min="28" max="28" width="5.109375" bestFit="1" customWidth="1"/>
    <col min="29" max="34" width="4.77734375" bestFit="1" customWidth="1"/>
    <col min="35" max="35" width="10.6640625" customWidth="1"/>
  </cols>
  <sheetData>
    <row r="1" spans="1:35" ht="47.25" customHeight="1" x14ac:dyDescent="0.25">
      <c r="A1" s="67"/>
      <c r="B1" s="67"/>
      <c r="C1" s="583" t="s">
        <v>69</v>
      </c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5"/>
      <c r="AH1" s="586" t="s">
        <v>101</v>
      </c>
      <c r="AI1" s="587"/>
    </row>
    <row r="2" spans="1:35" ht="12" customHeight="1" x14ac:dyDescent="0.2">
      <c r="A2" s="565" t="s">
        <v>12</v>
      </c>
      <c r="B2" s="567" t="s">
        <v>13</v>
      </c>
      <c r="C2" s="568"/>
      <c r="D2" s="568"/>
      <c r="E2" s="569"/>
      <c r="F2" s="68"/>
      <c r="G2" s="573"/>
      <c r="H2" s="574"/>
      <c r="I2" s="574"/>
      <c r="J2" s="575"/>
      <c r="K2" s="573"/>
      <c r="L2" s="574"/>
      <c r="M2" s="574"/>
      <c r="N2" s="574"/>
      <c r="O2" s="575"/>
      <c r="P2" s="579" t="s">
        <v>100</v>
      </c>
      <c r="Q2" s="580"/>
      <c r="R2" s="580"/>
      <c r="S2" s="580"/>
      <c r="T2" s="580"/>
      <c r="U2" s="580"/>
      <c r="V2" s="580"/>
      <c r="W2" s="580"/>
      <c r="X2" s="580"/>
      <c r="Y2" s="580"/>
      <c r="Z2" s="580"/>
      <c r="AA2" s="580"/>
      <c r="AB2" s="580"/>
      <c r="AC2" s="580"/>
      <c r="AD2" s="580"/>
      <c r="AE2" s="580"/>
      <c r="AF2" s="580"/>
      <c r="AG2" s="580"/>
      <c r="AH2" s="580"/>
      <c r="AI2" s="68"/>
    </row>
    <row r="3" spans="1:35" ht="0.75" customHeight="1" x14ac:dyDescent="0.2">
      <c r="A3" s="566"/>
      <c r="B3" s="570"/>
      <c r="C3" s="571"/>
      <c r="D3" s="571"/>
      <c r="E3" s="572"/>
      <c r="F3" s="68"/>
      <c r="G3" s="81" t="str">
        <f t="shared" ref="G3:AH3" si="0">UPPER(TEXT(G5,"DDD"))</f>
        <v>DOM</v>
      </c>
      <c r="H3" s="81" t="str">
        <f t="shared" si="0"/>
        <v>SEG</v>
      </c>
      <c r="I3" s="81" t="str">
        <f t="shared" si="0"/>
        <v>TER</v>
      </c>
      <c r="J3" s="81" t="str">
        <f t="shared" si="0"/>
        <v>QUA</v>
      </c>
      <c r="K3" s="81" t="str">
        <f t="shared" si="0"/>
        <v>QUI</v>
      </c>
      <c r="L3" s="81" t="str">
        <f t="shared" si="0"/>
        <v>SEX</v>
      </c>
      <c r="M3" s="81" t="str">
        <f t="shared" si="0"/>
        <v>SÁB</v>
      </c>
      <c r="N3" s="81" t="str">
        <f t="shared" si="0"/>
        <v>DOM</v>
      </c>
      <c r="O3" s="81" t="str">
        <f t="shared" si="0"/>
        <v>SEG</v>
      </c>
      <c r="P3" s="81" t="str">
        <f t="shared" si="0"/>
        <v>TER</v>
      </c>
      <c r="Q3" s="81" t="str">
        <f t="shared" si="0"/>
        <v>QUA</v>
      </c>
      <c r="R3" s="81" t="str">
        <f t="shared" si="0"/>
        <v>QUI</v>
      </c>
      <c r="S3" s="81" t="str">
        <f t="shared" si="0"/>
        <v>SEX</v>
      </c>
      <c r="T3" s="81" t="str">
        <f t="shared" si="0"/>
        <v>SÁB</v>
      </c>
      <c r="U3" s="81" t="str">
        <f t="shared" si="0"/>
        <v>DOM</v>
      </c>
      <c r="V3" s="81" t="str">
        <f t="shared" si="0"/>
        <v>SEG</v>
      </c>
      <c r="W3" s="81" t="str">
        <f t="shared" si="0"/>
        <v>TER</v>
      </c>
      <c r="X3" s="81" t="str">
        <f t="shared" si="0"/>
        <v>QUA</v>
      </c>
      <c r="Y3" s="81" t="str">
        <f t="shared" si="0"/>
        <v>QUI</v>
      </c>
      <c r="Z3" s="81" t="str">
        <f t="shared" si="0"/>
        <v>SEX</v>
      </c>
      <c r="AA3" s="81" t="str">
        <f t="shared" si="0"/>
        <v>SÁB</v>
      </c>
      <c r="AB3" s="81" t="str">
        <f t="shared" si="0"/>
        <v>DOM</v>
      </c>
      <c r="AC3" s="81" t="str">
        <f t="shared" si="0"/>
        <v>SEG</v>
      </c>
      <c r="AD3" s="81" t="str">
        <f t="shared" si="0"/>
        <v>TER</v>
      </c>
      <c r="AE3" s="81" t="str">
        <f t="shared" si="0"/>
        <v>QUA</v>
      </c>
      <c r="AF3" s="81" t="str">
        <f t="shared" si="0"/>
        <v>QUI</v>
      </c>
      <c r="AG3" s="81" t="str">
        <f t="shared" si="0"/>
        <v>SEX</v>
      </c>
      <c r="AH3" s="81" t="str">
        <f t="shared" si="0"/>
        <v>SÁB</v>
      </c>
      <c r="AI3" s="69" t="s">
        <v>16</v>
      </c>
    </row>
    <row r="4" spans="1:35" ht="12" customHeight="1" x14ac:dyDescent="0.2">
      <c r="A4" s="66"/>
      <c r="B4" s="69"/>
      <c r="C4" s="69"/>
      <c r="D4" s="69"/>
      <c r="E4" s="69"/>
      <c r="F4" s="68"/>
      <c r="G4" s="81" t="str">
        <f t="shared" ref="G4:AH4" si="1">UPPER(TEXT(G5,"DDD"))</f>
        <v>DOM</v>
      </c>
      <c r="H4" s="81" t="str">
        <f t="shared" si="1"/>
        <v>SEG</v>
      </c>
      <c r="I4" s="81" t="str">
        <f t="shared" si="1"/>
        <v>TER</v>
      </c>
      <c r="J4" s="93" t="str">
        <f t="shared" si="1"/>
        <v>QUA</v>
      </c>
      <c r="K4" s="81" t="str">
        <f t="shared" si="1"/>
        <v>QUI</v>
      </c>
      <c r="L4" s="81" t="str">
        <f t="shared" si="1"/>
        <v>SEX</v>
      </c>
      <c r="M4" s="81" t="str">
        <f t="shared" si="1"/>
        <v>SÁB</v>
      </c>
      <c r="N4" s="81" t="str">
        <f t="shared" si="1"/>
        <v>DOM</v>
      </c>
      <c r="O4" s="81" t="str">
        <f t="shared" si="1"/>
        <v>SEG</v>
      </c>
      <c r="P4" s="81" t="str">
        <f t="shared" si="1"/>
        <v>TER</v>
      </c>
      <c r="Q4" s="81" t="str">
        <f t="shared" si="1"/>
        <v>QUA</v>
      </c>
      <c r="R4" s="81" t="str">
        <f t="shared" si="1"/>
        <v>QUI</v>
      </c>
      <c r="S4" s="81" t="str">
        <f t="shared" si="1"/>
        <v>SEX</v>
      </c>
      <c r="T4" s="81" t="str">
        <f t="shared" si="1"/>
        <v>SÁB</v>
      </c>
      <c r="U4" s="81" t="str">
        <f t="shared" si="1"/>
        <v>DOM</v>
      </c>
      <c r="V4" s="81" t="str">
        <f t="shared" si="1"/>
        <v>SEG</v>
      </c>
      <c r="W4" s="81" t="str">
        <f t="shared" si="1"/>
        <v>TER</v>
      </c>
      <c r="X4" s="81" t="str">
        <f t="shared" si="1"/>
        <v>QUA</v>
      </c>
      <c r="Y4" s="81" t="str">
        <f t="shared" si="1"/>
        <v>QUI</v>
      </c>
      <c r="Z4" s="81" t="str">
        <f t="shared" si="1"/>
        <v>SEX</v>
      </c>
      <c r="AA4" s="81" t="str">
        <f t="shared" si="1"/>
        <v>SÁB</v>
      </c>
      <c r="AB4" s="81" t="str">
        <f t="shared" si="1"/>
        <v>DOM</v>
      </c>
      <c r="AC4" s="81" t="str">
        <f t="shared" si="1"/>
        <v>SEG</v>
      </c>
      <c r="AD4" s="81" t="str">
        <f t="shared" si="1"/>
        <v>TER</v>
      </c>
      <c r="AE4" s="81" t="str">
        <f t="shared" si="1"/>
        <v>QUA</v>
      </c>
      <c r="AF4" s="81" t="str">
        <f t="shared" si="1"/>
        <v>QUI</v>
      </c>
      <c r="AG4" s="81" t="str">
        <f t="shared" si="1"/>
        <v>SEX</v>
      </c>
      <c r="AH4" s="81" t="str">
        <f t="shared" si="1"/>
        <v>SÁB</v>
      </c>
      <c r="AI4" s="69"/>
    </row>
    <row r="5" spans="1:35" ht="21" customHeight="1" x14ac:dyDescent="0.25">
      <c r="A5" s="75" t="s">
        <v>17</v>
      </c>
      <c r="B5" s="65" t="s">
        <v>32</v>
      </c>
      <c r="C5" s="70" t="s">
        <v>4</v>
      </c>
      <c r="D5" s="74" t="s">
        <v>5</v>
      </c>
      <c r="E5" s="75" t="s">
        <v>6</v>
      </c>
      <c r="F5" s="80" t="s">
        <v>78</v>
      </c>
      <c r="G5" s="82">
        <v>46054</v>
      </c>
      <c r="H5" s="82">
        <f>G5+1</f>
        <v>46055</v>
      </c>
      <c r="I5" s="82">
        <f t="shared" ref="I5:AH5" si="2">H5+1</f>
        <v>46056</v>
      </c>
      <c r="J5" s="82">
        <f t="shared" si="2"/>
        <v>46057</v>
      </c>
      <c r="K5" s="82">
        <f t="shared" si="2"/>
        <v>46058</v>
      </c>
      <c r="L5" s="82">
        <f t="shared" si="2"/>
        <v>46059</v>
      </c>
      <c r="M5" s="82">
        <f t="shared" si="2"/>
        <v>46060</v>
      </c>
      <c r="N5" s="82">
        <f t="shared" si="2"/>
        <v>46061</v>
      </c>
      <c r="O5" s="82">
        <f t="shared" si="2"/>
        <v>46062</v>
      </c>
      <c r="P5" s="82">
        <f t="shared" si="2"/>
        <v>46063</v>
      </c>
      <c r="Q5" s="82">
        <f t="shared" si="2"/>
        <v>46064</v>
      </c>
      <c r="R5" s="82">
        <f t="shared" si="2"/>
        <v>46065</v>
      </c>
      <c r="S5" s="82">
        <f t="shared" si="2"/>
        <v>46066</v>
      </c>
      <c r="T5" s="82">
        <f t="shared" si="2"/>
        <v>46067</v>
      </c>
      <c r="U5" s="82">
        <f t="shared" si="2"/>
        <v>46068</v>
      </c>
      <c r="V5" s="82">
        <f t="shared" si="2"/>
        <v>46069</v>
      </c>
      <c r="W5" s="82">
        <f t="shared" si="2"/>
        <v>46070</v>
      </c>
      <c r="X5" s="82">
        <f t="shared" si="2"/>
        <v>46071</v>
      </c>
      <c r="Y5" s="82">
        <f t="shared" si="2"/>
        <v>46072</v>
      </c>
      <c r="Z5" s="82">
        <f t="shared" si="2"/>
        <v>46073</v>
      </c>
      <c r="AA5" s="82">
        <f t="shared" si="2"/>
        <v>46074</v>
      </c>
      <c r="AB5" s="82">
        <f t="shared" si="2"/>
        <v>46075</v>
      </c>
      <c r="AC5" s="82">
        <f t="shared" si="2"/>
        <v>46076</v>
      </c>
      <c r="AD5" s="82">
        <f t="shared" si="2"/>
        <v>46077</v>
      </c>
      <c r="AE5" s="82">
        <f t="shared" si="2"/>
        <v>46078</v>
      </c>
      <c r="AF5" s="82">
        <f t="shared" si="2"/>
        <v>46079</v>
      </c>
      <c r="AG5" s="82">
        <f t="shared" si="2"/>
        <v>46080</v>
      </c>
      <c r="AH5" s="82">
        <f t="shared" si="2"/>
        <v>46081</v>
      </c>
      <c r="AI5" s="71" t="s">
        <v>2</v>
      </c>
    </row>
    <row r="6" spans="1:35" ht="18" customHeight="1" x14ac:dyDescent="0.3">
      <c r="A6" s="72"/>
      <c r="B6" s="155" t="s">
        <v>67</v>
      </c>
      <c r="C6" s="76" t="s">
        <v>18</v>
      </c>
      <c r="D6" s="76" t="s">
        <v>19</v>
      </c>
      <c r="E6" s="78">
        <v>36</v>
      </c>
      <c r="F6" s="91">
        <f t="array" ref="F6">SUMPRODUCT((G6:AH6="SD")+(G6:AH6="SN")+(G6:AH6="MT")+(G6:AH6="8H")+(G6:AH6="N")+(G6:AH6="M")+(G6:AH6="T")+(G6:AH6="AE")+(G6:AH6="AB")+(G6:AH6="AA")+(G6:AH6="FC"))</f>
        <v>11</v>
      </c>
      <c r="G6" s="62"/>
      <c r="H6" s="57" t="s">
        <v>9</v>
      </c>
      <c r="I6" s="108"/>
      <c r="J6" s="218" t="s">
        <v>8</v>
      </c>
      <c r="K6" s="108"/>
      <c r="L6" s="108"/>
      <c r="M6" s="102" t="s">
        <v>9</v>
      </c>
      <c r="N6" s="103"/>
      <c r="O6" s="149" t="s">
        <v>8</v>
      </c>
      <c r="P6" s="108"/>
      <c r="Q6" s="107"/>
      <c r="R6" s="108" t="s">
        <v>9</v>
      </c>
      <c r="S6" s="108"/>
      <c r="T6" s="104" t="s">
        <v>8</v>
      </c>
      <c r="U6" s="103"/>
      <c r="V6" s="107"/>
      <c r="W6" s="102" t="s">
        <v>9</v>
      </c>
      <c r="X6" s="103"/>
      <c r="Y6" s="149" t="s">
        <v>8</v>
      </c>
      <c r="Z6" s="108"/>
      <c r="AA6" s="102"/>
      <c r="AB6" s="102" t="s">
        <v>9</v>
      </c>
      <c r="AC6" s="108"/>
      <c r="AD6" s="149" t="s">
        <v>8</v>
      </c>
      <c r="AE6" s="107"/>
      <c r="AF6" s="56"/>
      <c r="AG6" s="57" t="s">
        <v>9</v>
      </c>
      <c r="AH6" s="103"/>
      <c r="AI6" s="211">
        <f t="shared" ref="AI6:AI25" si="3">SUMPRODUCT((G6:AH6="SD")*12 + (G6:AH6="SN")*12 + (G6:AH6="MT")*8 + (G6:AH6="M")*6 + (G6:AH6="T")*6)</f>
        <v>132</v>
      </c>
    </row>
    <row r="7" spans="1:35" ht="18" customHeight="1" x14ac:dyDescent="0.2">
      <c r="A7" s="73"/>
      <c r="B7" s="63" t="s">
        <v>33</v>
      </c>
      <c r="C7" s="76" t="s">
        <v>18</v>
      </c>
      <c r="D7" s="76" t="s">
        <v>19</v>
      </c>
      <c r="E7" s="78">
        <v>36</v>
      </c>
      <c r="F7" s="91">
        <f t="array" ref="F7">SUMPRODUCT((G7:AH7="SD")+(G7:AH7="SN")+(G7:AH7="MT")+(G7:AH7="8H")+(G7:AH7="N")+(G7:AH7="M")+(G7:AH7="T")+(G7:AH7="AE")+(G7:AH7="AB")+(G7:AH7="AA")+(G7:AH7="FC"))</f>
        <v>11</v>
      </c>
      <c r="G7" s="102"/>
      <c r="H7" s="56" t="s">
        <v>9</v>
      </c>
      <c r="I7" s="107"/>
      <c r="J7" s="218" t="s">
        <v>8</v>
      </c>
      <c r="K7" s="149"/>
      <c r="L7" s="108"/>
      <c r="M7" s="102" t="s">
        <v>9</v>
      </c>
      <c r="N7" s="102"/>
      <c r="O7" s="149" t="s">
        <v>8</v>
      </c>
      <c r="P7" s="107"/>
      <c r="Q7" s="107"/>
      <c r="R7" s="108" t="s">
        <v>9</v>
      </c>
      <c r="S7" s="107"/>
      <c r="T7" s="104" t="s">
        <v>8</v>
      </c>
      <c r="U7" s="102"/>
      <c r="V7" s="149"/>
      <c r="W7" s="102" t="s">
        <v>9</v>
      </c>
      <c r="X7" s="103"/>
      <c r="Y7" s="149" t="s">
        <v>8</v>
      </c>
      <c r="Z7" s="108"/>
      <c r="AA7" s="102"/>
      <c r="AB7" s="102" t="s">
        <v>9</v>
      </c>
      <c r="AC7" s="108"/>
      <c r="AD7" s="149" t="s">
        <v>8</v>
      </c>
      <c r="AE7" s="107"/>
      <c r="AF7" s="56"/>
      <c r="AG7" s="57" t="s">
        <v>9</v>
      </c>
      <c r="AH7" s="103"/>
      <c r="AI7" s="211">
        <f t="shared" si="3"/>
        <v>132</v>
      </c>
    </row>
    <row r="8" spans="1:35" ht="18" customHeight="1" x14ac:dyDescent="0.2">
      <c r="A8" s="73"/>
      <c r="B8" s="63" t="s">
        <v>85</v>
      </c>
      <c r="C8" s="76" t="s">
        <v>18</v>
      </c>
      <c r="D8" s="76" t="s">
        <v>19</v>
      </c>
      <c r="E8" s="78">
        <v>36</v>
      </c>
      <c r="F8" s="91">
        <f t="array" ref="F8">SUMPRODUCT((G8:AH8="SD")+(G8:AH8="SN")+(G8:AH8="MT")+(G8:AH8="8H")+(G8:AH8="N")+(G8:AH8="M")+(G8:AH8="T")+(G8:AH8="AE")+(G8:AH8="AB")+(G8:AH8="AA")+(G8:AH8="FC"))</f>
        <v>11</v>
      </c>
      <c r="G8" s="102"/>
      <c r="H8" s="56" t="s">
        <v>9</v>
      </c>
      <c r="I8" s="107"/>
      <c r="J8" s="218" t="s">
        <v>8</v>
      </c>
      <c r="K8" s="149"/>
      <c r="L8" s="108"/>
      <c r="M8" s="102" t="s">
        <v>9</v>
      </c>
      <c r="N8" s="104"/>
      <c r="O8" s="149" t="s">
        <v>8</v>
      </c>
      <c r="P8" s="107"/>
      <c r="Q8" s="107"/>
      <c r="R8" s="149" t="s">
        <v>8</v>
      </c>
      <c r="S8" s="107"/>
      <c r="T8" s="104" t="s">
        <v>8</v>
      </c>
      <c r="U8" s="102"/>
      <c r="V8" s="149"/>
      <c r="W8" s="102" t="s">
        <v>9</v>
      </c>
      <c r="X8" s="103"/>
      <c r="Y8" s="149" t="s">
        <v>8</v>
      </c>
      <c r="Z8" s="108"/>
      <c r="AA8" s="102"/>
      <c r="AB8" s="102" t="s">
        <v>9</v>
      </c>
      <c r="AC8" s="108"/>
      <c r="AD8" s="149" t="s">
        <v>8</v>
      </c>
      <c r="AE8" s="107"/>
      <c r="AF8" s="56"/>
      <c r="AG8" s="57" t="s">
        <v>9</v>
      </c>
      <c r="AH8" s="103"/>
      <c r="AI8" s="211">
        <f t="shared" si="3"/>
        <v>132</v>
      </c>
    </row>
    <row r="9" spans="1:35" ht="18" customHeight="1" x14ac:dyDescent="0.25">
      <c r="A9" s="72"/>
      <c r="B9" s="63" t="s">
        <v>82</v>
      </c>
      <c r="C9" s="76" t="s">
        <v>18</v>
      </c>
      <c r="D9" s="76" t="s">
        <v>19</v>
      </c>
      <c r="E9" s="78">
        <v>36</v>
      </c>
      <c r="F9" s="91">
        <f t="array" ref="F9">SUMPRODUCT((G9:AH9="SD")+(G9:AH9="SN")+(G9:AH9="MT")+(G9:AH9="8H")+(G9:AH9="N")+(G9:AH9="M")+(G9:AH9="T")+(G9:AH9="AE")+(G9:AH9="AB")+(G9:AH9="AA")+(G9:AH9="FC"))</f>
        <v>11</v>
      </c>
      <c r="G9" s="102"/>
      <c r="H9" s="56" t="s">
        <v>9</v>
      </c>
      <c r="I9" s="108"/>
      <c r="J9" s="218" t="s">
        <v>8</v>
      </c>
      <c r="K9" s="108"/>
      <c r="L9" s="108"/>
      <c r="M9" s="102" t="s">
        <v>9</v>
      </c>
      <c r="N9" s="103"/>
      <c r="O9" s="149"/>
      <c r="P9" s="108"/>
      <c r="Q9" s="107" t="s">
        <v>9</v>
      </c>
      <c r="R9" s="108" t="s">
        <v>9</v>
      </c>
      <c r="S9" s="108"/>
      <c r="T9" s="104" t="s">
        <v>8</v>
      </c>
      <c r="U9" s="103"/>
      <c r="V9" s="107"/>
      <c r="W9" s="102" t="s">
        <v>9</v>
      </c>
      <c r="X9" s="103"/>
      <c r="Y9" s="149" t="s">
        <v>8</v>
      </c>
      <c r="Z9" s="108"/>
      <c r="AA9" s="102"/>
      <c r="AB9" s="102" t="s">
        <v>9</v>
      </c>
      <c r="AC9" s="108" t="s">
        <v>9</v>
      </c>
      <c r="AD9" s="149"/>
      <c r="AE9" s="107"/>
      <c r="AF9" s="56"/>
      <c r="AG9" s="57" t="s">
        <v>9</v>
      </c>
      <c r="AH9" s="103"/>
      <c r="AI9" s="211">
        <f t="shared" si="3"/>
        <v>132</v>
      </c>
    </row>
    <row r="10" spans="1:35" ht="18" customHeight="1" x14ac:dyDescent="0.2">
      <c r="A10" s="73"/>
      <c r="B10" s="156" t="s">
        <v>73</v>
      </c>
      <c r="C10" s="157" t="s">
        <v>18</v>
      </c>
      <c r="D10" s="76" t="s">
        <v>19</v>
      </c>
      <c r="E10" s="78">
        <v>36</v>
      </c>
      <c r="F10" s="91">
        <f t="array" ref="F10">SUMPRODUCT((G10:AH10="SD")+(G10:AH10="SN")+(G10:AH10="MT")+(G10:AH10="8H")+(G10:AH10="N")+(G10:AH10="M")+(G10:AH10="T")+(G10:AH10="AE")+(G10:AH10="AB")+(G10:AH10="AA")+(G10:AH10="FC"))</f>
        <v>11</v>
      </c>
      <c r="G10" s="106"/>
      <c r="H10" s="89" t="s">
        <v>9</v>
      </c>
      <c r="I10" s="108"/>
      <c r="J10" s="218" t="s">
        <v>8</v>
      </c>
      <c r="K10" s="108"/>
      <c r="L10" s="108"/>
      <c r="M10" s="102" t="s">
        <v>9</v>
      </c>
      <c r="N10" s="103"/>
      <c r="O10" s="149" t="s">
        <v>8</v>
      </c>
      <c r="P10" s="108"/>
      <c r="Q10" s="107"/>
      <c r="R10" s="108" t="s">
        <v>9</v>
      </c>
      <c r="S10" s="108"/>
      <c r="T10" s="104" t="s">
        <v>8</v>
      </c>
      <c r="U10" s="103"/>
      <c r="V10" s="107"/>
      <c r="W10" s="102" t="s">
        <v>9</v>
      </c>
      <c r="X10" s="103"/>
      <c r="Y10" s="149" t="s">
        <v>8</v>
      </c>
      <c r="Z10" s="108"/>
      <c r="AA10" s="102"/>
      <c r="AB10" s="102" t="s">
        <v>9</v>
      </c>
      <c r="AC10" s="108"/>
      <c r="AD10" s="149" t="s">
        <v>8</v>
      </c>
      <c r="AE10" s="107"/>
      <c r="AF10" s="56"/>
      <c r="AG10" s="57" t="s">
        <v>9</v>
      </c>
      <c r="AH10" s="103"/>
      <c r="AI10" s="211">
        <f t="shared" si="3"/>
        <v>132</v>
      </c>
    </row>
    <row r="11" spans="1:35" ht="18" customHeight="1" x14ac:dyDescent="0.2">
      <c r="A11" s="73"/>
      <c r="B11" s="156" t="s">
        <v>91</v>
      </c>
      <c r="C11" s="157" t="s">
        <v>18</v>
      </c>
      <c r="D11" s="76" t="s">
        <v>19</v>
      </c>
      <c r="E11" s="78">
        <v>36</v>
      </c>
      <c r="F11" s="91">
        <f t="array" ref="F11">SUMPRODUCT((G11:AH11="SD")+(G11:AH11="SN")+(G11:AH11="MT")+(G11:AH11="8H")+(G11:AH11="N")+(G11:AH11="M")+(G11:AH11="T")+(G11:AH11="AE")+(G11:AH11="AB")+(G11:AH11="AA")+(G11:AH11="FC"))</f>
        <v>11</v>
      </c>
      <c r="G11" s="105"/>
      <c r="H11" s="87" t="s">
        <v>9</v>
      </c>
      <c r="I11" s="108"/>
      <c r="J11" s="218" t="s">
        <v>8</v>
      </c>
      <c r="K11" s="108"/>
      <c r="L11" s="108"/>
      <c r="M11" s="102" t="s">
        <v>9</v>
      </c>
      <c r="N11" s="103"/>
      <c r="O11" s="149" t="s">
        <v>8</v>
      </c>
      <c r="P11" s="108"/>
      <c r="Q11" s="107"/>
      <c r="R11" s="108" t="s">
        <v>9</v>
      </c>
      <c r="S11" s="108"/>
      <c r="T11" s="104" t="s">
        <v>8</v>
      </c>
      <c r="U11" s="103"/>
      <c r="V11" s="107"/>
      <c r="W11" s="102" t="s">
        <v>9</v>
      </c>
      <c r="X11" s="103"/>
      <c r="Y11" s="149" t="s">
        <v>8</v>
      </c>
      <c r="Z11" s="108"/>
      <c r="AA11" s="102"/>
      <c r="AB11" s="102" t="s">
        <v>9</v>
      </c>
      <c r="AC11" s="108"/>
      <c r="AD11" s="149" t="s">
        <v>8</v>
      </c>
      <c r="AE11" s="107"/>
      <c r="AF11" s="56"/>
      <c r="AG11" s="57" t="s">
        <v>9</v>
      </c>
      <c r="AH11" s="103"/>
      <c r="AI11" s="211">
        <f t="shared" si="3"/>
        <v>132</v>
      </c>
    </row>
    <row r="12" spans="1:35" ht="13.8" x14ac:dyDescent="0.2">
      <c r="A12" s="73"/>
      <c r="B12" s="63" t="s">
        <v>68</v>
      </c>
      <c r="C12" s="76" t="s">
        <v>18</v>
      </c>
      <c r="D12" s="76" t="s">
        <v>19</v>
      </c>
      <c r="E12" s="78">
        <v>36</v>
      </c>
      <c r="F12" s="91">
        <f t="array" ref="F12">SUMPRODUCT((G12:AH12="SD")+(G12:AH12="SN")+(G12:AH12="MT")+(G12:AH12="8H")+(G12:AH12="N")+(G12:AH12="M")+(G12:AH12="T")+(G12:AH12="AE")+(G12:AH12="AB")+(G12:AH12="AA")+(G12:AH12="FC"))</f>
        <v>13</v>
      </c>
      <c r="G12" s="62"/>
      <c r="H12" s="64" t="s">
        <v>8</v>
      </c>
      <c r="I12" s="107"/>
      <c r="J12" s="214" t="s">
        <v>96</v>
      </c>
      <c r="K12" s="57" t="s">
        <v>9</v>
      </c>
      <c r="L12" s="57"/>
      <c r="M12" s="104" t="s">
        <v>8</v>
      </c>
      <c r="N12" s="104" t="s">
        <v>8</v>
      </c>
      <c r="O12" s="57"/>
      <c r="P12" s="108" t="s">
        <v>9</v>
      </c>
      <c r="Q12" s="107" t="s">
        <v>9</v>
      </c>
      <c r="R12" s="149"/>
      <c r="S12" s="149"/>
      <c r="T12" s="102"/>
      <c r="U12" s="103" t="s">
        <v>9</v>
      </c>
      <c r="V12" s="57"/>
      <c r="W12" s="104" t="s">
        <v>8</v>
      </c>
      <c r="X12" s="62"/>
      <c r="Y12" s="57"/>
      <c r="Z12" s="108" t="s">
        <v>9</v>
      </c>
      <c r="AA12" s="102"/>
      <c r="AB12" s="104" t="s">
        <v>8</v>
      </c>
      <c r="AC12" s="57"/>
      <c r="AD12" s="107"/>
      <c r="AE12" s="108" t="s">
        <v>9</v>
      </c>
      <c r="AF12" s="57"/>
      <c r="AG12" s="149" t="s">
        <v>8</v>
      </c>
      <c r="AH12" s="102"/>
      <c r="AI12" s="211">
        <f t="shared" si="3"/>
        <v>150</v>
      </c>
    </row>
    <row r="13" spans="1:35" ht="18" customHeight="1" x14ac:dyDescent="0.2">
      <c r="A13" s="73"/>
      <c r="B13" s="63" t="s">
        <v>20</v>
      </c>
      <c r="C13" s="76" t="s">
        <v>18</v>
      </c>
      <c r="D13" s="76" t="s">
        <v>19</v>
      </c>
      <c r="E13" s="78">
        <v>36</v>
      </c>
      <c r="F13" s="91">
        <f t="array" ref="F13">SUMPRODUCT((G13:AH13="SD")+(G13:AH13="SN")+(G13:AH13="MT")+(G13:AH13="8H")+(G13:AH13="N")+(G13:AH13="M")+(G13:AH13="T")+(G13:AH13="AE")+(G13:AH13="AB")+(G13:AH13="AA")+(G13:AH13="FC"))</f>
        <v>12</v>
      </c>
      <c r="G13" s="62"/>
      <c r="H13" s="64" t="s">
        <v>8</v>
      </c>
      <c r="I13" s="107"/>
      <c r="J13" s="214" t="s">
        <v>96</v>
      </c>
      <c r="K13" s="56" t="s">
        <v>9</v>
      </c>
      <c r="L13" s="56"/>
      <c r="M13" s="104" t="s">
        <v>8</v>
      </c>
      <c r="N13" s="102"/>
      <c r="O13" s="57"/>
      <c r="P13" s="108" t="s">
        <v>9</v>
      </c>
      <c r="Q13" s="107"/>
      <c r="R13" s="149" t="s">
        <v>8</v>
      </c>
      <c r="S13" s="107"/>
      <c r="T13" s="102"/>
      <c r="U13" s="103" t="s">
        <v>9</v>
      </c>
      <c r="V13" s="57"/>
      <c r="W13" s="104" t="s">
        <v>8</v>
      </c>
      <c r="X13" s="62"/>
      <c r="Y13" s="57"/>
      <c r="Z13" s="108" t="s">
        <v>9</v>
      </c>
      <c r="AA13" s="102"/>
      <c r="AB13" s="104" t="s">
        <v>8</v>
      </c>
      <c r="AC13" s="57"/>
      <c r="AD13" s="107"/>
      <c r="AE13" s="108" t="s">
        <v>9</v>
      </c>
      <c r="AF13" s="57"/>
      <c r="AG13" s="149" t="s">
        <v>8</v>
      </c>
      <c r="AH13" s="102"/>
      <c r="AI13" s="211">
        <f t="shared" si="3"/>
        <v>138</v>
      </c>
    </row>
    <row r="14" spans="1:35" ht="18" customHeight="1" x14ac:dyDescent="0.2">
      <c r="A14" s="73"/>
      <c r="B14" s="63" t="s">
        <v>21</v>
      </c>
      <c r="C14" s="76" t="s">
        <v>18</v>
      </c>
      <c r="D14" s="76" t="s">
        <v>19</v>
      </c>
      <c r="E14" s="78">
        <v>36</v>
      </c>
      <c r="F14" s="91">
        <f t="array" ref="F14">SUMPRODUCT((G14:AH14="SD")+(G14:AH14="SN")+(G14:AH14="MT")+(G14:AH14="8H")+(G14:AH14="N")+(G14:AH14="M")+(G14:AH14="T")+(G14:AH14="AE")+(G14:AH14="AB")+(G14:AH14="AA")+(G14:AH14="FC"))</f>
        <v>12</v>
      </c>
      <c r="G14" s="62"/>
      <c r="H14" s="64" t="s">
        <v>8</v>
      </c>
      <c r="I14" s="108"/>
      <c r="J14" s="214" t="s">
        <v>96</v>
      </c>
      <c r="K14" s="56" t="s">
        <v>9</v>
      </c>
      <c r="L14" s="57"/>
      <c r="M14" s="104" t="s">
        <v>8</v>
      </c>
      <c r="N14" s="102"/>
      <c r="O14" s="56"/>
      <c r="P14" s="108" t="s">
        <v>9</v>
      </c>
      <c r="Q14" s="107"/>
      <c r="R14" s="149" t="s">
        <v>8</v>
      </c>
      <c r="S14" s="108"/>
      <c r="T14" s="102"/>
      <c r="U14" s="103" t="s">
        <v>9</v>
      </c>
      <c r="V14" s="57"/>
      <c r="W14" s="104" t="s">
        <v>8</v>
      </c>
      <c r="X14" s="62"/>
      <c r="Y14" s="56"/>
      <c r="Z14" s="108" t="s">
        <v>9</v>
      </c>
      <c r="AA14" s="102"/>
      <c r="AB14" s="104" t="s">
        <v>8</v>
      </c>
      <c r="AC14" s="57"/>
      <c r="AD14" s="108"/>
      <c r="AE14" s="108" t="s">
        <v>9</v>
      </c>
      <c r="AF14" s="57"/>
      <c r="AG14" s="149" t="s">
        <v>8</v>
      </c>
      <c r="AH14" s="102"/>
      <c r="AI14" s="211">
        <f t="shared" si="3"/>
        <v>138</v>
      </c>
    </row>
    <row r="15" spans="1:35" ht="18" customHeight="1" x14ac:dyDescent="0.2">
      <c r="A15" s="73"/>
      <c r="B15" s="63" t="s">
        <v>22</v>
      </c>
      <c r="C15" s="76" t="s">
        <v>18</v>
      </c>
      <c r="D15" s="76" t="s">
        <v>19</v>
      </c>
      <c r="E15" s="78">
        <v>36</v>
      </c>
      <c r="F15" s="91">
        <f t="array" ref="F15">SUMPRODUCT((G15:AH15="SD")+(G15:AH15="SN")+(G15:AH15="MT")+(G15:AH15="8H")+(G15:AH15="N")+(G15:AH15="M")+(G15:AH15="T")+(G15:AH15="AE")+(G15:AH15="AB")+(G15:AH15="AA")+(G15:AH15="FC"))</f>
        <v>12</v>
      </c>
      <c r="G15" s="62"/>
      <c r="H15" s="64" t="s">
        <v>8</v>
      </c>
      <c r="I15" s="108"/>
      <c r="J15" s="214" t="s">
        <v>96</v>
      </c>
      <c r="K15" s="56" t="s">
        <v>9</v>
      </c>
      <c r="L15" s="57"/>
      <c r="M15" s="104" t="s">
        <v>8</v>
      </c>
      <c r="N15" s="102"/>
      <c r="O15" s="57"/>
      <c r="P15" s="108" t="s">
        <v>9</v>
      </c>
      <c r="Q15" s="107"/>
      <c r="R15" s="149" t="s">
        <v>8</v>
      </c>
      <c r="S15" s="108"/>
      <c r="T15" s="104"/>
      <c r="U15" s="103" t="s">
        <v>9</v>
      </c>
      <c r="V15" s="57"/>
      <c r="W15" s="104" t="s">
        <v>8</v>
      </c>
      <c r="X15" s="62"/>
      <c r="Y15" s="56"/>
      <c r="Z15" s="108" t="s">
        <v>9</v>
      </c>
      <c r="AA15" s="102"/>
      <c r="AB15" s="104" t="s">
        <v>8</v>
      </c>
      <c r="AC15" s="57"/>
      <c r="AD15" s="108"/>
      <c r="AE15" s="108" t="s">
        <v>9</v>
      </c>
      <c r="AF15" s="57"/>
      <c r="AG15" s="149" t="s">
        <v>8</v>
      </c>
      <c r="AH15" s="102"/>
      <c r="AI15" s="211">
        <f t="shared" si="3"/>
        <v>138</v>
      </c>
    </row>
    <row r="16" spans="1:35" ht="18" customHeight="1" x14ac:dyDescent="0.2">
      <c r="A16" s="73"/>
      <c r="B16" s="63" t="s">
        <v>24</v>
      </c>
      <c r="C16" s="76" t="s">
        <v>18</v>
      </c>
      <c r="D16" s="76" t="s">
        <v>19</v>
      </c>
      <c r="E16" s="78">
        <v>36</v>
      </c>
      <c r="F16" s="91">
        <f t="array" ref="F16">SUMPRODUCT((G16:AH16="SD")+(G16:AH16="SN")+(G16:AH16="MT")+(G16:AH16="8H")+(G16:AH16="N")+(G16:AH16="M")+(G16:AH16="T")+(G16:AH16="AE")+(G16:AH16="AB")+(G16:AH16="AA")+(G16:AH16="FC"))</f>
        <v>12</v>
      </c>
      <c r="G16" s="59"/>
      <c r="H16" s="64" t="s">
        <v>8</v>
      </c>
      <c r="I16" s="107"/>
      <c r="J16" s="215" t="s">
        <v>96</v>
      </c>
      <c r="K16" s="89" t="s">
        <v>9</v>
      </c>
      <c r="L16" s="56"/>
      <c r="M16" s="104" t="s">
        <v>8</v>
      </c>
      <c r="N16" s="102"/>
      <c r="O16" s="56"/>
      <c r="P16" s="108" t="s">
        <v>9</v>
      </c>
      <c r="Q16" s="149"/>
      <c r="R16" s="149" t="s">
        <v>8</v>
      </c>
      <c r="S16" s="107"/>
      <c r="T16" s="103"/>
      <c r="U16" s="103" t="s">
        <v>9</v>
      </c>
      <c r="V16" s="56"/>
      <c r="W16" s="104" t="s">
        <v>8</v>
      </c>
      <c r="X16" s="62"/>
      <c r="Y16" s="56"/>
      <c r="Z16" s="108" t="s">
        <v>9</v>
      </c>
      <c r="AA16" s="103"/>
      <c r="AB16" s="104" t="s">
        <v>8</v>
      </c>
      <c r="AC16" s="57"/>
      <c r="AD16" s="108"/>
      <c r="AE16" s="108" t="s">
        <v>9</v>
      </c>
      <c r="AF16" s="56"/>
      <c r="AG16" s="149" t="s">
        <v>8</v>
      </c>
      <c r="AH16" s="103"/>
      <c r="AI16" s="211">
        <f t="shared" si="3"/>
        <v>138</v>
      </c>
    </row>
    <row r="17" spans="1:35" ht="18" customHeight="1" x14ac:dyDescent="0.2">
      <c r="A17" s="73"/>
      <c r="B17" s="63" t="s">
        <v>25</v>
      </c>
      <c r="C17" s="76" t="s">
        <v>18</v>
      </c>
      <c r="D17" s="76" t="s">
        <v>19</v>
      </c>
      <c r="E17" s="78">
        <v>36</v>
      </c>
      <c r="F17" s="91">
        <f t="array" ref="F17">SUMPRODUCT((G17:AH17="SD")+(G17:AH17="SN")+(G17:AH17="MT")+(G17:AH17="8H")+(G17:AH17="N")+(G17:AH17="M")+(G17:AH17="T")+(G17:AH17="AE")+(G17:AH17="AB")+(G17:AH17="AA")+(G17:AH17="FC"))</f>
        <v>12</v>
      </c>
      <c r="G17" s="102" t="s">
        <v>9</v>
      </c>
      <c r="H17" s="56"/>
      <c r="I17" s="108"/>
      <c r="J17" s="107" t="s">
        <v>9</v>
      </c>
      <c r="K17" s="87"/>
      <c r="L17" s="64" t="s">
        <v>8</v>
      </c>
      <c r="M17" s="102"/>
      <c r="N17" s="103"/>
      <c r="O17" s="108" t="s">
        <v>9</v>
      </c>
      <c r="P17" s="108"/>
      <c r="Q17" s="149" t="s">
        <v>8</v>
      </c>
      <c r="R17" s="108"/>
      <c r="S17" s="108"/>
      <c r="T17" s="103" t="s">
        <v>9</v>
      </c>
      <c r="U17" s="103"/>
      <c r="V17" s="149" t="s">
        <v>8</v>
      </c>
      <c r="W17" s="102"/>
      <c r="X17" s="103"/>
      <c r="Y17" s="108" t="s">
        <v>9</v>
      </c>
      <c r="Z17" s="108"/>
      <c r="AA17" s="104" t="s">
        <v>8</v>
      </c>
      <c r="AB17" s="102"/>
      <c r="AC17" s="108"/>
      <c r="AD17" s="108" t="s">
        <v>9</v>
      </c>
      <c r="AE17" s="108"/>
      <c r="AF17" s="64" t="s">
        <v>8</v>
      </c>
      <c r="AG17" s="218" t="s">
        <v>96</v>
      </c>
      <c r="AH17" s="103"/>
      <c r="AI17" s="211">
        <f t="shared" si="3"/>
        <v>138</v>
      </c>
    </row>
    <row r="18" spans="1:35" ht="18" customHeight="1" x14ac:dyDescent="0.2">
      <c r="A18" s="73"/>
      <c r="B18" s="63" t="s">
        <v>26</v>
      </c>
      <c r="C18" s="76" t="s">
        <v>18</v>
      </c>
      <c r="D18" s="76" t="s">
        <v>19</v>
      </c>
      <c r="E18" s="78">
        <v>36</v>
      </c>
      <c r="F18" s="91">
        <f t="array" ref="F18">SUMPRODUCT((G18:AH18="SD")+(G18:AH18="SN")+(G18:AH18="MT")+(G18:AH18="8H")+(G18:AH18="N")+(G18:AH18="M")+(G18:AH18="T")+(G18:AH18="AE")+(G18:AH18="AB")+(G18:AH18="AA")+(G18:AH18="FC"))</f>
        <v>12</v>
      </c>
      <c r="G18" s="102" t="s">
        <v>9</v>
      </c>
      <c r="H18" s="56"/>
      <c r="I18" s="107"/>
      <c r="J18" s="108" t="s">
        <v>9</v>
      </c>
      <c r="K18" s="107"/>
      <c r="L18" s="64" t="s">
        <v>8</v>
      </c>
      <c r="M18" s="102"/>
      <c r="N18" s="103"/>
      <c r="O18" s="108" t="s">
        <v>9</v>
      </c>
      <c r="P18" s="108"/>
      <c r="Q18" s="149" t="s">
        <v>8</v>
      </c>
      <c r="R18" s="107"/>
      <c r="S18" s="108"/>
      <c r="T18" s="102" t="s">
        <v>9</v>
      </c>
      <c r="U18" s="103"/>
      <c r="V18" s="149" t="s">
        <v>8</v>
      </c>
      <c r="W18" s="102"/>
      <c r="X18" s="102"/>
      <c r="Y18" s="108" t="s">
        <v>9</v>
      </c>
      <c r="Z18" s="108"/>
      <c r="AA18" s="104" t="s">
        <v>8</v>
      </c>
      <c r="AB18" s="102"/>
      <c r="AC18" s="108"/>
      <c r="AD18" s="108" t="s">
        <v>9</v>
      </c>
      <c r="AE18" s="107"/>
      <c r="AF18" s="64" t="s">
        <v>8</v>
      </c>
      <c r="AG18" s="214" t="s">
        <v>96</v>
      </c>
      <c r="AH18" s="103"/>
      <c r="AI18" s="211">
        <f t="shared" si="3"/>
        <v>138</v>
      </c>
    </row>
    <row r="19" spans="1:35" ht="18" customHeight="1" x14ac:dyDescent="0.2">
      <c r="A19" s="73"/>
      <c r="B19" s="63" t="s">
        <v>27</v>
      </c>
      <c r="C19" s="76" t="s">
        <v>18</v>
      </c>
      <c r="D19" s="76" t="s">
        <v>19</v>
      </c>
      <c r="E19" s="78">
        <v>37</v>
      </c>
      <c r="F19" s="91">
        <f t="array" ref="F19">SUMPRODUCT((G19:AH19="SD")+(G19:AH19="SN")+(G19:AH19="MT")+(G19:AH19="8H")+(G19:AH19="N")+(G19:AH19="M")+(G19:AH19="T")+(G19:AH19="AE")+(G19:AH19="AB")+(G19:AH19="AA")+(G19:AH19="FC"))</f>
        <v>12</v>
      </c>
      <c r="G19" s="103" t="s">
        <v>9</v>
      </c>
      <c r="H19" s="56"/>
      <c r="I19" s="149"/>
      <c r="J19" s="108" t="s">
        <v>9</v>
      </c>
      <c r="K19" s="107"/>
      <c r="L19" s="64" t="s">
        <v>8</v>
      </c>
      <c r="M19" s="102"/>
      <c r="N19" s="103"/>
      <c r="O19" s="108" t="s">
        <v>9</v>
      </c>
      <c r="P19" s="107"/>
      <c r="Q19" s="149" t="s">
        <v>8</v>
      </c>
      <c r="R19" s="107"/>
      <c r="S19" s="108"/>
      <c r="T19" s="102" t="s">
        <v>9</v>
      </c>
      <c r="U19" s="102"/>
      <c r="V19" s="149" t="s">
        <v>8</v>
      </c>
      <c r="W19" s="102"/>
      <c r="X19" s="102"/>
      <c r="Y19" s="108" t="s">
        <v>9</v>
      </c>
      <c r="Z19" s="108"/>
      <c r="AA19" s="104" t="s">
        <v>8</v>
      </c>
      <c r="AB19" s="103"/>
      <c r="AC19" s="149"/>
      <c r="AD19" s="108" t="s">
        <v>9</v>
      </c>
      <c r="AE19" s="108"/>
      <c r="AF19" s="64" t="s">
        <v>8</v>
      </c>
      <c r="AG19" s="215" t="s">
        <v>96</v>
      </c>
      <c r="AH19" s="102"/>
      <c r="AI19" s="211">
        <f t="shared" si="3"/>
        <v>138</v>
      </c>
    </row>
    <row r="20" spans="1:35" ht="18" customHeight="1" x14ac:dyDescent="0.2">
      <c r="A20" s="73"/>
      <c r="B20" s="63" t="s">
        <v>83</v>
      </c>
      <c r="C20" s="76" t="s">
        <v>18</v>
      </c>
      <c r="D20" s="76" t="s">
        <v>19</v>
      </c>
      <c r="E20" s="78">
        <v>36</v>
      </c>
      <c r="F20" s="91">
        <f t="array" ref="F20">SUMPRODUCT((G20:AH20="SD")+(G20:AH20="SN")+(G20:AH20="MT")+(G20:AH20="8H")+(G20:AH20="N")+(G20:AH20="M")+(G20:AH20="T")+(G20:AH20="AE")+(G20:AH20="AB")+(G20:AH20="AA")+(G20:AH20="FC"))</f>
        <v>12</v>
      </c>
      <c r="G20" s="103" t="s">
        <v>9</v>
      </c>
      <c r="H20" s="56"/>
      <c r="I20" s="107"/>
      <c r="J20" s="108" t="s">
        <v>9</v>
      </c>
      <c r="K20" s="107"/>
      <c r="L20" s="64" t="s">
        <v>8</v>
      </c>
      <c r="M20" s="102"/>
      <c r="N20" s="103"/>
      <c r="O20" s="108" t="s">
        <v>9</v>
      </c>
      <c r="P20" s="107"/>
      <c r="Q20" s="149" t="s">
        <v>8</v>
      </c>
      <c r="R20" s="107"/>
      <c r="S20" s="108"/>
      <c r="T20" s="102" t="s">
        <v>9</v>
      </c>
      <c r="U20" s="102"/>
      <c r="V20" s="149" t="s">
        <v>8</v>
      </c>
      <c r="W20" s="102"/>
      <c r="X20" s="102"/>
      <c r="Y20" s="108" t="s">
        <v>9</v>
      </c>
      <c r="Z20" s="108"/>
      <c r="AA20" s="104" t="s">
        <v>8</v>
      </c>
      <c r="AB20" s="103"/>
      <c r="AC20" s="108"/>
      <c r="AD20" s="108" t="s">
        <v>9</v>
      </c>
      <c r="AE20" s="107"/>
      <c r="AF20" s="64" t="s">
        <v>8</v>
      </c>
      <c r="AG20" s="214" t="s">
        <v>96</v>
      </c>
      <c r="AH20" s="103"/>
      <c r="AI20" s="211">
        <f t="shared" si="3"/>
        <v>138</v>
      </c>
    </row>
    <row r="21" spans="1:35" ht="18" customHeight="1" x14ac:dyDescent="0.2">
      <c r="A21" s="73"/>
      <c r="B21" s="63" t="s">
        <v>28</v>
      </c>
      <c r="C21" s="76" t="s">
        <v>18</v>
      </c>
      <c r="D21" s="76" t="s">
        <v>19</v>
      </c>
      <c r="E21" s="78">
        <v>36</v>
      </c>
      <c r="F21" s="91">
        <f t="array" ref="F21">SUMPRODUCT((G21:AH21="SD")+(G21:AH21="SN")+(G21:AH21="MT")+(G21:AH21="8H")+(G21:AH21="N")+(G21:AH21="M")+(G21:AH21="T")+(G21:AH21="AE")+(G21:AH21="AB")+(G21:AH21="AA")+(G21:AH21="FC"))</f>
        <v>12</v>
      </c>
      <c r="G21" s="103" t="s">
        <v>9</v>
      </c>
      <c r="H21" s="56"/>
      <c r="I21" s="107"/>
      <c r="J21" s="95" t="s">
        <v>9</v>
      </c>
      <c r="K21" s="107"/>
      <c r="L21" s="64" t="s">
        <v>8</v>
      </c>
      <c r="M21" s="103"/>
      <c r="N21" s="102"/>
      <c r="O21" s="108" t="s">
        <v>9</v>
      </c>
      <c r="P21" s="107"/>
      <c r="Q21" s="149" t="s">
        <v>8</v>
      </c>
      <c r="R21" s="108"/>
      <c r="S21" s="107"/>
      <c r="T21" s="103" t="s">
        <v>9</v>
      </c>
      <c r="U21" s="102"/>
      <c r="V21" s="149" t="s">
        <v>8</v>
      </c>
      <c r="W21" s="103"/>
      <c r="X21" s="103"/>
      <c r="Y21" s="108" t="s">
        <v>9</v>
      </c>
      <c r="Z21" s="108"/>
      <c r="AA21" s="104" t="s">
        <v>8</v>
      </c>
      <c r="AB21" s="103"/>
      <c r="AC21" s="108"/>
      <c r="AD21" s="108" t="s">
        <v>9</v>
      </c>
      <c r="AE21" s="108"/>
      <c r="AF21" s="64" t="s">
        <v>8</v>
      </c>
      <c r="AG21" s="215" t="s">
        <v>96</v>
      </c>
      <c r="AH21" s="102"/>
      <c r="AI21" s="211">
        <f t="shared" si="3"/>
        <v>138</v>
      </c>
    </row>
    <row r="22" spans="1:35" ht="23.25" customHeight="1" x14ac:dyDescent="0.2">
      <c r="A22" s="73"/>
      <c r="B22" s="63" t="s">
        <v>30</v>
      </c>
      <c r="C22" s="76" t="s">
        <v>18</v>
      </c>
      <c r="D22" s="76" t="s">
        <v>19</v>
      </c>
      <c r="E22" s="78">
        <v>36</v>
      </c>
      <c r="F22" s="91">
        <f t="array" ref="F22">SUMPRODUCT((G22:AH22="SD")+(G22:AH22="SN")+(G22:AH22="MT")+(G22:AH22="8H")+(G22:AH22="N")+(G22:AH22="M")+(G22:AH22="T")+(G22:AH22="AE")+(G22:AH22="AB")+(G22:AH22="AA")+(G22:AH22="FC"))</f>
        <v>12</v>
      </c>
      <c r="G22" s="104" t="s">
        <v>8</v>
      </c>
      <c r="H22" s="56"/>
      <c r="I22" s="107"/>
      <c r="J22" s="87" t="s">
        <v>9</v>
      </c>
      <c r="K22" s="107"/>
      <c r="L22" s="108" t="s">
        <v>9</v>
      </c>
      <c r="M22" s="103"/>
      <c r="N22" s="104"/>
      <c r="O22" s="108" t="s">
        <v>9</v>
      </c>
      <c r="P22" s="107"/>
      <c r="Q22" s="149" t="s">
        <v>8</v>
      </c>
      <c r="R22" s="108"/>
      <c r="S22" s="107"/>
      <c r="T22" s="103" t="s">
        <v>9</v>
      </c>
      <c r="U22" s="102"/>
      <c r="V22" s="149" t="s">
        <v>8</v>
      </c>
      <c r="W22" s="103"/>
      <c r="X22" s="103"/>
      <c r="Y22" s="108" t="s">
        <v>9</v>
      </c>
      <c r="Z22" s="108"/>
      <c r="AA22" s="104" t="s">
        <v>8</v>
      </c>
      <c r="AB22" s="103"/>
      <c r="AC22" s="108"/>
      <c r="AD22" s="108" t="s">
        <v>9</v>
      </c>
      <c r="AE22" s="108"/>
      <c r="AF22" s="64" t="s">
        <v>8</v>
      </c>
      <c r="AG22" s="215" t="s">
        <v>96</v>
      </c>
      <c r="AH22" s="102"/>
      <c r="AI22" s="211">
        <f t="shared" si="3"/>
        <v>138</v>
      </c>
    </row>
    <row r="23" spans="1:35" ht="18" customHeight="1" x14ac:dyDescent="0.2">
      <c r="A23" s="73"/>
      <c r="B23" s="63" t="s">
        <v>29</v>
      </c>
      <c r="C23" s="76" t="s">
        <v>18</v>
      </c>
      <c r="D23" s="76" t="s">
        <v>19</v>
      </c>
      <c r="E23" s="78">
        <v>36</v>
      </c>
      <c r="F23" s="91">
        <f t="array" ref="F23">SUMPRODUCT((G23:AH23="SD")+(G23:AH23="SN")+(G23:AH23="MT")+(G23:AH23="8H")+(G23:AH23="N")+(G23:AH23="M")+(G23:AH23="T")+(G23:AH23="AE")+(G23:AH23="AB")+(G23:AH23="AA")+(G23:AH23="FC"))</f>
        <v>12</v>
      </c>
      <c r="G23" s="102"/>
      <c r="H23" s="57"/>
      <c r="I23" s="108" t="s">
        <v>9</v>
      </c>
      <c r="J23" s="214" t="s">
        <v>96</v>
      </c>
      <c r="K23" s="149" t="s">
        <v>8</v>
      </c>
      <c r="L23" s="107"/>
      <c r="M23" s="103"/>
      <c r="N23" s="102" t="s">
        <v>9</v>
      </c>
      <c r="O23" s="108"/>
      <c r="P23" s="149" t="s">
        <v>8</v>
      </c>
      <c r="Q23" s="107"/>
      <c r="R23" s="108"/>
      <c r="S23" s="107"/>
      <c r="T23" s="102" t="s">
        <v>9</v>
      </c>
      <c r="U23" s="103"/>
      <c r="V23" s="107" t="s">
        <v>9</v>
      </c>
      <c r="W23" s="103"/>
      <c r="X23" s="104" t="s">
        <v>8</v>
      </c>
      <c r="Y23" s="107"/>
      <c r="Z23" s="108"/>
      <c r="AA23" s="102" t="s">
        <v>9</v>
      </c>
      <c r="AB23" s="103"/>
      <c r="AC23" s="149" t="s">
        <v>8</v>
      </c>
      <c r="AD23" s="107"/>
      <c r="AE23" s="108"/>
      <c r="AF23" s="108" t="s">
        <v>9</v>
      </c>
      <c r="AG23" s="56"/>
      <c r="AH23" s="104" t="s">
        <v>8</v>
      </c>
      <c r="AI23" s="211">
        <f t="shared" si="3"/>
        <v>138</v>
      </c>
    </row>
    <row r="24" spans="1:35" ht="18" customHeight="1" x14ac:dyDescent="0.2">
      <c r="A24" s="73"/>
      <c r="B24" s="63" t="s">
        <v>31</v>
      </c>
      <c r="C24" s="76" t="s">
        <v>18</v>
      </c>
      <c r="D24" s="76" t="s">
        <v>19</v>
      </c>
      <c r="E24" s="78">
        <v>36</v>
      </c>
      <c r="F24" s="91">
        <f>SUMPRODUCT((G24:AH24="SD")+(G24:AH24="SN")+(G24:AH24="MT")+(G24:AH24="8H")+(G24:AH24="N")+(G24:AH24="M")+(G24:AH24="T")+(G24:AH24="AE")+(G24:AH24="AB")+(G24:AH24="AA")+(G24:AH24="FC"))</f>
        <v>11</v>
      </c>
      <c r="G24" s="102"/>
      <c r="H24" s="56"/>
      <c r="I24" s="107" t="s">
        <v>9</v>
      </c>
      <c r="J24" s="214" t="s">
        <v>96</v>
      </c>
      <c r="K24" s="149" t="s">
        <v>8</v>
      </c>
      <c r="L24" s="107"/>
      <c r="M24" s="103"/>
      <c r="N24" s="104" t="s">
        <v>8</v>
      </c>
      <c r="O24" s="107"/>
      <c r="P24" s="149" t="s">
        <v>8</v>
      </c>
      <c r="Q24" s="108"/>
      <c r="R24" s="108"/>
      <c r="S24" s="149" t="s">
        <v>8</v>
      </c>
      <c r="T24" s="103"/>
      <c r="U24" s="104"/>
      <c r="V24" s="108"/>
      <c r="W24" s="102"/>
      <c r="X24" s="104" t="s">
        <v>8</v>
      </c>
      <c r="Y24" s="107"/>
      <c r="Z24" s="107"/>
      <c r="AA24" s="102" t="s">
        <v>9</v>
      </c>
      <c r="AB24" s="102"/>
      <c r="AC24" s="149" t="s">
        <v>8</v>
      </c>
      <c r="AD24" s="149"/>
      <c r="AE24" s="107"/>
      <c r="AF24" s="108" t="s">
        <v>9</v>
      </c>
      <c r="AG24" s="57"/>
      <c r="AH24" s="104" t="s">
        <v>8</v>
      </c>
      <c r="AI24" s="211">
        <f t="shared" si="3"/>
        <v>126</v>
      </c>
    </row>
    <row r="25" spans="1:35" ht="29.25" customHeight="1" x14ac:dyDescent="0.2">
      <c r="A25" s="73"/>
      <c r="B25" s="63" t="s">
        <v>35</v>
      </c>
      <c r="C25" s="76" t="s">
        <v>18</v>
      </c>
      <c r="D25" s="76" t="s">
        <v>19</v>
      </c>
      <c r="E25" s="78">
        <v>36</v>
      </c>
      <c r="F25" s="91">
        <f t="array" ref="F25">SUMPRODUCT((G25:AH25="SD")+(G25:AH25="SN")+(G25:AH25="MT")+(G25:AH25="8H")+(G25:AH25="N")+(G25:AH25="M")+(G25:AH25="T")+(G25:AH25="AE")+(G25:AH25="AB")+(G25:AH25="AA")+(G25:AH25="FC"))</f>
        <v>12</v>
      </c>
      <c r="G25" s="104"/>
      <c r="H25" s="56"/>
      <c r="I25" s="149" t="s">
        <v>8</v>
      </c>
      <c r="J25" s="215" t="s">
        <v>96</v>
      </c>
      <c r="K25" s="107"/>
      <c r="L25" s="107" t="s">
        <v>9</v>
      </c>
      <c r="M25" s="102"/>
      <c r="N25" s="104" t="s">
        <v>8</v>
      </c>
      <c r="O25" s="108"/>
      <c r="P25" s="107"/>
      <c r="Q25" s="108"/>
      <c r="R25" s="108"/>
      <c r="S25" s="149" t="s">
        <v>8</v>
      </c>
      <c r="T25" s="103"/>
      <c r="U25" s="102"/>
      <c r="V25" s="108" t="s">
        <v>9</v>
      </c>
      <c r="W25" s="102"/>
      <c r="X25" s="104" t="s">
        <v>8</v>
      </c>
      <c r="Y25" s="149"/>
      <c r="Z25" s="108"/>
      <c r="AA25" s="102" t="s">
        <v>9</v>
      </c>
      <c r="AB25" s="102"/>
      <c r="AC25" s="149" t="s">
        <v>8</v>
      </c>
      <c r="AD25" s="263" t="s">
        <v>9</v>
      </c>
      <c r="AE25" s="107"/>
      <c r="AF25" s="108" t="s">
        <v>9</v>
      </c>
      <c r="AG25" s="57"/>
      <c r="AH25" s="104" t="s">
        <v>8</v>
      </c>
      <c r="AI25" s="211">
        <f t="shared" si="3"/>
        <v>138</v>
      </c>
    </row>
    <row r="26" spans="1:35" ht="23.25" customHeight="1" x14ac:dyDescent="0.2">
      <c r="A26" s="73"/>
      <c r="B26" s="63" t="s">
        <v>34</v>
      </c>
      <c r="C26" s="76" t="s">
        <v>18</v>
      </c>
      <c r="D26" s="76" t="s">
        <v>19</v>
      </c>
      <c r="E26" s="78">
        <v>36</v>
      </c>
      <c r="F26" s="91">
        <f t="array" ref="F26">SUMPRODUCT((G26:AH26="SD")+(G26:AH26="SN")+(G26:AH26="MT")+(G26:AH26="8H")+(G26:AH26="N")+(G26:AH26="M")+(G26:AH26="T")+(G26:AH26="AE")+(G26:AH26="AB")+(G26:AH26="AA")+(G26:AH26="FC"))</f>
        <v>10</v>
      </c>
      <c r="G26" s="102"/>
      <c r="H26" s="56"/>
      <c r="I26" s="149" t="s">
        <v>8</v>
      </c>
      <c r="J26" s="215" t="s">
        <v>96</v>
      </c>
      <c r="K26" s="149"/>
      <c r="L26" s="108" t="s">
        <v>9</v>
      </c>
      <c r="M26" s="102"/>
      <c r="N26" s="104" t="s">
        <v>8</v>
      </c>
      <c r="O26" s="108"/>
      <c r="P26" s="107"/>
      <c r="Q26" s="108" t="s">
        <v>9</v>
      </c>
      <c r="R26" s="108"/>
      <c r="S26" s="149"/>
      <c r="T26" s="103"/>
      <c r="U26" s="102"/>
      <c r="V26" s="108" t="s">
        <v>9</v>
      </c>
      <c r="W26" s="102"/>
      <c r="X26" s="104" t="s">
        <v>8</v>
      </c>
      <c r="Y26" s="149"/>
      <c r="Z26" s="108"/>
      <c r="AA26" s="102" t="s">
        <v>9</v>
      </c>
      <c r="AB26" s="102"/>
      <c r="AC26" s="149" t="s">
        <v>8</v>
      </c>
      <c r="AD26" s="149"/>
      <c r="AE26" s="107"/>
      <c r="AF26" s="108" t="s">
        <v>112</v>
      </c>
      <c r="AG26" s="57"/>
      <c r="AH26" s="104" t="s">
        <v>8</v>
      </c>
      <c r="AI26" s="211">
        <v>156</v>
      </c>
    </row>
    <row r="27" spans="1:35" ht="18" customHeight="1" x14ac:dyDescent="0.2">
      <c r="A27" s="73"/>
      <c r="B27" s="63" t="s">
        <v>36</v>
      </c>
      <c r="C27" s="76" t="s">
        <v>18</v>
      </c>
      <c r="D27" s="76" t="s">
        <v>19</v>
      </c>
      <c r="E27" s="78">
        <v>36</v>
      </c>
      <c r="F27" s="91">
        <f t="array" ref="F27">SUMPRODUCT((G27:AH27="SD")+(G27:AH27="SN")+(G27:AH27="MT")+(G27:AH27="8H")+(G27:AH27="N")+(G27:AH27="M")+(G27:AH27="T")+(G27:AH27="AE")+(G27:AH27="AB")+(G27:AH27="AA")+(G27:AH27="FC"))</f>
        <v>12</v>
      </c>
      <c r="G27" s="102"/>
      <c r="H27" s="56"/>
      <c r="I27" s="149" t="s">
        <v>8</v>
      </c>
      <c r="J27" s="214" t="s">
        <v>96</v>
      </c>
      <c r="K27" s="108"/>
      <c r="L27" s="108" t="s">
        <v>9</v>
      </c>
      <c r="M27" s="103"/>
      <c r="N27" s="104" t="s">
        <v>8</v>
      </c>
      <c r="O27" s="107"/>
      <c r="P27" s="108"/>
      <c r="Q27" s="108" t="s">
        <v>9</v>
      </c>
      <c r="R27" s="108"/>
      <c r="S27" s="149" t="s">
        <v>8</v>
      </c>
      <c r="T27" s="104"/>
      <c r="U27" s="103"/>
      <c r="V27" s="108" t="s">
        <v>9</v>
      </c>
      <c r="W27" s="102"/>
      <c r="X27" s="104" t="s">
        <v>8</v>
      </c>
      <c r="Y27" s="149"/>
      <c r="Z27" s="107"/>
      <c r="AA27" s="102" t="s">
        <v>9</v>
      </c>
      <c r="AB27" s="102"/>
      <c r="AC27" s="149" t="s">
        <v>8</v>
      </c>
      <c r="AD27" s="149"/>
      <c r="AE27" s="107"/>
      <c r="AF27" s="108" t="s">
        <v>9</v>
      </c>
      <c r="AG27" s="57"/>
      <c r="AH27" s="104" t="s">
        <v>8</v>
      </c>
      <c r="AI27" s="211">
        <f t="shared" ref="AI27:AI34" si="4">SUMPRODUCT((G27:AH27="SD")*12 + (G27:AH27="SN")*12 + (G27:AH27="MT")*8 + (G27:AH27="M")*6 + (G27:AH27="T")*6)</f>
        <v>138</v>
      </c>
    </row>
    <row r="28" spans="1:35" ht="18" customHeight="1" x14ac:dyDescent="0.2">
      <c r="A28" s="73"/>
      <c r="B28" s="63" t="s">
        <v>65</v>
      </c>
      <c r="C28" s="76" t="s">
        <v>18</v>
      </c>
      <c r="D28" s="76" t="s">
        <v>19</v>
      </c>
      <c r="E28" s="78">
        <v>36</v>
      </c>
      <c r="F28" s="91">
        <f t="array" ref="F28">SUMPRODUCT((G28:AH28="SD")+(G28:AH28="SN")+(G28:AH28="MT")+(G28:AH28="8H")+(G28:AH28="N")+(G28:AH28="M")+(G28:AH28="T")+(G28:AH28="AE")+(G28:AH28="AB")+(G28:AH28="AA")+(G28:AH28="FC"))</f>
        <v>12</v>
      </c>
      <c r="G28" s="102"/>
      <c r="H28" s="56"/>
      <c r="I28" s="149" t="s">
        <v>8</v>
      </c>
      <c r="J28" s="214" t="s">
        <v>96</v>
      </c>
      <c r="K28" s="108"/>
      <c r="L28" s="108" t="s">
        <v>9</v>
      </c>
      <c r="M28" s="103"/>
      <c r="N28" s="104" t="s">
        <v>8</v>
      </c>
      <c r="O28" s="149"/>
      <c r="P28" s="108"/>
      <c r="Q28" s="108" t="s">
        <v>9</v>
      </c>
      <c r="R28" s="108"/>
      <c r="S28" s="149" t="s">
        <v>8</v>
      </c>
      <c r="T28" s="104"/>
      <c r="U28" s="103"/>
      <c r="V28" s="108" t="s">
        <v>9</v>
      </c>
      <c r="W28" s="102"/>
      <c r="X28" s="104" t="s">
        <v>8</v>
      </c>
      <c r="Y28" s="149"/>
      <c r="Z28" s="107"/>
      <c r="AA28" s="102" t="s">
        <v>9</v>
      </c>
      <c r="AB28" s="102"/>
      <c r="AC28" s="149" t="s">
        <v>8</v>
      </c>
      <c r="AD28" s="108"/>
      <c r="AE28" s="107"/>
      <c r="AF28" s="108" t="s">
        <v>9</v>
      </c>
      <c r="AG28" s="57"/>
      <c r="AH28" s="104" t="s">
        <v>8</v>
      </c>
      <c r="AI28" s="211">
        <f t="shared" si="4"/>
        <v>138</v>
      </c>
    </row>
    <row r="29" spans="1:35" s="60" customFormat="1" ht="18" customHeight="1" x14ac:dyDescent="0.25">
      <c r="A29" s="160">
        <v>17855</v>
      </c>
      <c r="B29" s="156" t="s">
        <v>79</v>
      </c>
      <c r="C29" s="157" t="s">
        <v>18</v>
      </c>
      <c r="D29" s="76" t="s">
        <v>19</v>
      </c>
      <c r="E29" s="78">
        <v>36</v>
      </c>
      <c r="F29" s="91">
        <f t="array" ref="F29">SUMPRODUCT((G29:AH29="SD")+(G29:AH29="SN")+(G29:AH29="MT")+(G29:AH29="8H")+(G29:AH29="N")+(G29:AH29="M")+(G29:AH29="T")+(G29:AH29="AE")+(G29:AH29="AB")+(G29:AH29="AA")+(G29:AH29="FC"))</f>
        <v>12</v>
      </c>
      <c r="G29" s="105"/>
      <c r="I29" s="89" t="s">
        <v>9</v>
      </c>
      <c r="J29" s="217" t="s">
        <v>96</v>
      </c>
      <c r="K29" s="149" t="s">
        <v>8</v>
      </c>
      <c r="L29" s="87"/>
      <c r="M29" s="105"/>
      <c r="N29" s="105" t="s">
        <v>9</v>
      </c>
      <c r="O29" s="87"/>
      <c r="P29" s="149"/>
      <c r="Q29" s="149" t="s">
        <v>8</v>
      </c>
      <c r="R29" s="95"/>
      <c r="S29" s="108" t="s">
        <v>9</v>
      </c>
      <c r="T29" s="105"/>
      <c r="U29" s="104" t="s">
        <v>8</v>
      </c>
      <c r="V29" s="95"/>
      <c r="W29" s="105"/>
      <c r="X29" s="105"/>
      <c r="Y29" s="87" t="s">
        <v>9</v>
      </c>
      <c r="Z29" s="108" t="s">
        <v>9</v>
      </c>
      <c r="AA29" s="105"/>
      <c r="AB29" s="106"/>
      <c r="AC29" s="108"/>
      <c r="AD29" s="90" t="s">
        <v>8</v>
      </c>
      <c r="AE29" s="149" t="s">
        <v>8</v>
      </c>
      <c r="AF29" s="89"/>
      <c r="AG29" s="89"/>
      <c r="AH29" s="102" t="s">
        <v>9</v>
      </c>
      <c r="AI29" s="212">
        <f t="shared" si="4"/>
        <v>138</v>
      </c>
    </row>
    <row r="30" spans="1:35" s="60" customFormat="1" ht="18" customHeight="1" x14ac:dyDescent="0.25">
      <c r="A30" s="160">
        <v>17873</v>
      </c>
      <c r="B30" s="156" t="s">
        <v>80</v>
      </c>
      <c r="C30" s="157" t="s">
        <v>18</v>
      </c>
      <c r="D30" s="76" t="s">
        <v>19</v>
      </c>
      <c r="E30" s="78">
        <v>36</v>
      </c>
      <c r="F30" s="91">
        <f t="array" ref="F30">SUMPRODUCT((G30:AH30="SD")+(G30:AH30="SN")+(G30:AH30="MT")+(G30:AH30="8H")+(G30:AH30="N")+(G30:AH30="M")+(G30:AH30="T")+(G30:AH30="AE")+(G30:AH30="AB")+(G30:AH30="AA")+(G30:AH30="FC"))</f>
        <v>12</v>
      </c>
      <c r="G30" s="105"/>
      <c r="I30" s="89" t="s">
        <v>9</v>
      </c>
      <c r="J30" s="217" t="s">
        <v>96</v>
      </c>
      <c r="K30" s="149" t="s">
        <v>8</v>
      </c>
      <c r="L30" s="87"/>
      <c r="M30" s="105"/>
      <c r="N30" s="105" t="s">
        <v>9</v>
      </c>
      <c r="O30" s="87"/>
      <c r="P30" s="149" t="s">
        <v>8</v>
      </c>
      <c r="Q30" s="95"/>
      <c r="R30" s="95"/>
      <c r="S30" s="108" t="s">
        <v>9</v>
      </c>
      <c r="T30" s="105"/>
      <c r="U30" s="104" t="s">
        <v>8</v>
      </c>
      <c r="V30" s="95"/>
      <c r="W30" s="105"/>
      <c r="X30" s="105" t="s">
        <v>9</v>
      </c>
      <c r="Y30" s="90"/>
      <c r="Z30" s="149" t="s">
        <v>8</v>
      </c>
      <c r="AA30" s="105"/>
      <c r="AB30" s="106"/>
      <c r="AC30" s="108" t="s">
        <v>9</v>
      </c>
      <c r="AD30" s="95"/>
      <c r="AE30" s="149" t="s">
        <v>8</v>
      </c>
      <c r="AF30" s="89"/>
      <c r="AG30" s="89"/>
      <c r="AH30" s="102" t="s">
        <v>9</v>
      </c>
      <c r="AI30" s="212">
        <f t="shared" si="4"/>
        <v>138</v>
      </c>
    </row>
    <row r="31" spans="1:35" s="60" customFormat="1" ht="18" customHeight="1" x14ac:dyDescent="0.25">
      <c r="A31" s="160">
        <v>17878</v>
      </c>
      <c r="B31" s="156" t="s">
        <v>81</v>
      </c>
      <c r="C31" s="157" t="s">
        <v>18</v>
      </c>
      <c r="D31" s="76" t="s">
        <v>19</v>
      </c>
      <c r="E31" s="78">
        <v>36</v>
      </c>
      <c r="F31" s="91">
        <f t="array" ref="F31">SUMPRODUCT((G31:AH31="SD")+(G31:AH31="SN")+(G31:AH31="MT")+(G31:AH31="8H")+(G31:AH31="N")+(G31:AH31="M")+(G31:AH31="T")+(G31:AH31="AE")+(G31:AH31="AB")+(G31:AH31="AA")+(G31:AH31="FC"))</f>
        <v>12</v>
      </c>
      <c r="G31" s="105"/>
      <c r="I31" s="89" t="s">
        <v>9</v>
      </c>
      <c r="J31" s="217" t="s">
        <v>96</v>
      </c>
      <c r="K31" s="149" t="s">
        <v>8</v>
      </c>
      <c r="L31" s="87"/>
      <c r="M31" s="105"/>
      <c r="N31" s="105" t="s">
        <v>9</v>
      </c>
      <c r="O31" s="87"/>
      <c r="P31" s="149" t="s">
        <v>8</v>
      </c>
      <c r="Q31" s="95"/>
      <c r="R31" s="95"/>
      <c r="S31" s="108" t="s">
        <v>9</v>
      </c>
      <c r="T31" s="105"/>
      <c r="U31" s="104" t="s">
        <v>8</v>
      </c>
      <c r="V31" s="95"/>
      <c r="W31" s="105"/>
      <c r="X31" s="105" t="s">
        <v>9</v>
      </c>
      <c r="Y31" s="90"/>
      <c r="Z31" s="149" t="s">
        <v>8</v>
      </c>
      <c r="AA31" s="151"/>
      <c r="AB31" s="105"/>
      <c r="AC31" s="108" t="s">
        <v>9</v>
      </c>
      <c r="AD31" s="95"/>
      <c r="AE31" s="149" t="s">
        <v>8</v>
      </c>
      <c r="AF31" s="89"/>
      <c r="AG31" s="89"/>
      <c r="AH31" s="102" t="s">
        <v>9</v>
      </c>
      <c r="AI31" s="212">
        <f t="shared" si="4"/>
        <v>138</v>
      </c>
    </row>
    <row r="32" spans="1:35" s="60" customFormat="1" ht="18" customHeight="1" x14ac:dyDescent="0.25">
      <c r="A32" s="160">
        <v>1694</v>
      </c>
      <c r="B32" s="156" t="s">
        <v>54</v>
      </c>
      <c r="C32" s="157" t="s">
        <v>18</v>
      </c>
      <c r="D32" s="76" t="s">
        <v>19</v>
      </c>
      <c r="E32" s="78">
        <v>36</v>
      </c>
      <c r="F32" s="91">
        <f t="array" ref="F32">SUMPRODUCT((G32:AH32="SD")+(G32:AH32="SN")+(G32:AH32="MT")+(G32:AH32="8H")+(G32:AH32="N")+(G32:AH32="M")+(G32:AH32="T")+(G32:AH32="AE")+(G32:AH32="AB")+(G32:AH32="AA")+(G32:AH32="FC"))</f>
        <v>12</v>
      </c>
      <c r="G32" s="105"/>
      <c r="I32" s="152" t="s">
        <v>8</v>
      </c>
      <c r="J32" s="216" t="s">
        <v>96</v>
      </c>
      <c r="K32" s="87"/>
      <c r="L32" s="95" t="s">
        <v>9</v>
      </c>
      <c r="M32" s="106"/>
      <c r="N32" s="151" t="s">
        <v>8</v>
      </c>
      <c r="O32" s="95"/>
      <c r="P32" s="87"/>
      <c r="Q32" s="95" t="s">
        <v>9</v>
      </c>
      <c r="R32" s="95"/>
      <c r="S32" s="149" t="s">
        <v>8</v>
      </c>
      <c r="T32" s="106"/>
      <c r="U32" s="105"/>
      <c r="V32" s="95" t="s">
        <v>9</v>
      </c>
      <c r="W32" s="106"/>
      <c r="X32" s="105" t="s">
        <v>9</v>
      </c>
      <c r="Y32" s="87"/>
      <c r="Z32" s="149" t="s">
        <v>8</v>
      </c>
      <c r="AA32" s="105"/>
      <c r="AB32" s="106"/>
      <c r="AC32" s="108" t="s">
        <v>9</v>
      </c>
      <c r="AD32" s="87"/>
      <c r="AE32" s="149" t="s">
        <v>8</v>
      </c>
      <c r="AF32" s="61"/>
      <c r="AG32" s="89"/>
      <c r="AH32" s="102" t="s">
        <v>9</v>
      </c>
      <c r="AI32" s="212">
        <f t="shared" si="4"/>
        <v>138</v>
      </c>
    </row>
    <row r="33" spans="1:35" s="60" customFormat="1" ht="22.5" customHeight="1" x14ac:dyDescent="0.25">
      <c r="A33" s="161"/>
      <c r="B33" s="213" t="s">
        <v>102</v>
      </c>
      <c r="C33" s="157" t="s">
        <v>18</v>
      </c>
      <c r="D33" s="76" t="s">
        <v>19</v>
      </c>
      <c r="E33" s="78">
        <v>36</v>
      </c>
      <c r="F33" s="91">
        <f t="array" ref="F33">SUMPRODUCT((G33:AH33="SD")+(G33:AH33="SN")+(G33:AH33="MT")+(G33:AH33="8H")+(G33:AH33="N")+(G33:AH33="M")+(G33:AH33="T")+(G33:AH33="AE")+(G33:AH33="AB")+(G33:AH33="AA")+(G33:AH33="FC"))</f>
        <v>12</v>
      </c>
      <c r="G33" s="151" t="s">
        <v>8</v>
      </c>
      <c r="H33" s="95"/>
      <c r="I33" s="87"/>
      <c r="J33" s="216" t="s">
        <v>9</v>
      </c>
      <c r="K33" s="87"/>
      <c r="M33" s="106"/>
      <c r="N33" s="105" t="s">
        <v>9</v>
      </c>
      <c r="O33" s="95"/>
      <c r="P33" s="149" t="s">
        <v>8</v>
      </c>
      <c r="Q33" s="95"/>
      <c r="R33" s="95"/>
      <c r="S33" s="95" t="s">
        <v>9</v>
      </c>
      <c r="T33" s="106"/>
      <c r="U33" s="104" t="s">
        <v>8</v>
      </c>
      <c r="V33" s="95"/>
      <c r="W33" s="106"/>
      <c r="X33" s="105" t="s">
        <v>9</v>
      </c>
      <c r="Y33" s="87"/>
      <c r="Z33" s="149" t="s">
        <v>8</v>
      </c>
      <c r="AA33" s="151"/>
      <c r="AB33" s="106"/>
      <c r="AC33" s="108" t="s">
        <v>9</v>
      </c>
      <c r="AD33" s="87"/>
      <c r="AE33" s="149" t="s">
        <v>8</v>
      </c>
      <c r="AF33" s="152"/>
      <c r="AG33" s="217" t="s">
        <v>96</v>
      </c>
      <c r="AH33" s="102" t="s">
        <v>9</v>
      </c>
      <c r="AI33" s="212">
        <f t="shared" si="4"/>
        <v>138</v>
      </c>
    </row>
    <row r="34" spans="1:35" s="60" customFormat="1" ht="18" customHeight="1" x14ac:dyDescent="0.25">
      <c r="A34" s="161"/>
      <c r="B34" s="156" t="s">
        <v>92</v>
      </c>
      <c r="C34" s="157" t="s">
        <v>18</v>
      </c>
      <c r="D34" s="76" t="s">
        <v>19</v>
      </c>
      <c r="E34" s="78">
        <v>36</v>
      </c>
      <c r="F34" s="91">
        <f t="array" ref="F34">SUMPRODUCT((G34:AH34="SD")+(G34:AH34="SN")+(G34:AH34="MT")+(G34:AH34="8H")+(G34:AH34="N")+(G34:AH34="M")+(G34:AH34="T")+(G34:AH34="AE")+(G34:AH34="AB")+(G34:AH34="AA")+(G34:AH34="FC"))</f>
        <v>12</v>
      </c>
      <c r="G34" s="151" t="s">
        <v>8</v>
      </c>
      <c r="H34" s="95"/>
      <c r="I34" s="87"/>
      <c r="J34" s="216" t="s">
        <v>9</v>
      </c>
      <c r="K34" s="87"/>
      <c r="L34" s="217" t="s">
        <v>96</v>
      </c>
      <c r="M34" s="106"/>
      <c r="N34" s="105" t="s">
        <v>9</v>
      </c>
      <c r="O34" s="95"/>
      <c r="P34" s="149" t="s">
        <v>8</v>
      </c>
      <c r="Q34" s="95"/>
      <c r="R34" s="95"/>
      <c r="S34" s="95" t="s">
        <v>9</v>
      </c>
      <c r="T34" s="106"/>
      <c r="U34" s="104" t="s">
        <v>8</v>
      </c>
      <c r="V34" s="95"/>
      <c r="W34" s="151"/>
      <c r="X34" s="105" t="s">
        <v>9</v>
      </c>
      <c r="Y34" s="87"/>
      <c r="Z34" s="149" t="s">
        <v>8</v>
      </c>
      <c r="AA34" s="105"/>
      <c r="AB34" s="151"/>
      <c r="AC34" s="108" t="s">
        <v>9</v>
      </c>
      <c r="AD34" s="87"/>
      <c r="AE34" s="149" t="s">
        <v>8</v>
      </c>
      <c r="AF34" s="61"/>
      <c r="AH34" s="102" t="s">
        <v>9</v>
      </c>
      <c r="AI34" s="212">
        <f t="shared" si="4"/>
        <v>138</v>
      </c>
    </row>
    <row r="35" spans="1:35" s="60" customFormat="1" ht="18" customHeight="1" x14ac:dyDescent="0.25">
      <c r="A35" s="161"/>
      <c r="B35" s="226" t="s">
        <v>108</v>
      </c>
      <c r="C35" s="157" t="s">
        <v>18</v>
      </c>
      <c r="D35" s="76" t="s">
        <v>19</v>
      </c>
      <c r="E35" s="78">
        <v>36</v>
      </c>
      <c r="F35" s="91">
        <v>12</v>
      </c>
      <c r="G35" s="151"/>
      <c r="H35" s="95"/>
      <c r="I35" s="87"/>
      <c r="J35" s="95"/>
      <c r="K35" s="87"/>
      <c r="L35" s="217" t="s">
        <v>96</v>
      </c>
      <c r="M35" s="106"/>
      <c r="N35" s="105" t="s">
        <v>9</v>
      </c>
      <c r="O35" s="95" t="s">
        <v>9</v>
      </c>
      <c r="P35" s="149"/>
      <c r="Q35" s="95" t="s">
        <v>9</v>
      </c>
      <c r="R35" s="90" t="s">
        <v>8</v>
      </c>
      <c r="S35" s="95"/>
      <c r="T35" s="106"/>
      <c r="U35" s="104"/>
      <c r="V35" s="95" t="s">
        <v>9</v>
      </c>
      <c r="W35" s="106" t="s">
        <v>9</v>
      </c>
      <c r="X35" s="105"/>
      <c r="Y35" s="90" t="s">
        <v>8</v>
      </c>
      <c r="Z35" s="149"/>
      <c r="AA35" s="105"/>
      <c r="AB35" s="106"/>
      <c r="AC35" s="108" t="s">
        <v>9</v>
      </c>
      <c r="AD35" s="87"/>
      <c r="AE35" s="108" t="s">
        <v>9</v>
      </c>
      <c r="AF35" s="262" t="s">
        <v>9</v>
      </c>
      <c r="AH35" s="104" t="s">
        <v>8</v>
      </c>
      <c r="AI35" s="212">
        <v>138</v>
      </c>
    </row>
    <row r="36" spans="1:35" s="60" customFormat="1" ht="18" customHeight="1" x14ac:dyDescent="0.25">
      <c r="A36" s="161"/>
      <c r="B36" s="226" t="s">
        <v>109</v>
      </c>
      <c r="C36" s="157" t="s">
        <v>18</v>
      </c>
      <c r="D36" s="76" t="s">
        <v>19</v>
      </c>
      <c r="E36" s="78">
        <v>36</v>
      </c>
      <c r="F36" s="91">
        <v>12</v>
      </c>
      <c r="G36" s="151"/>
      <c r="H36" s="95"/>
      <c r="I36" s="87"/>
      <c r="J36" s="95"/>
      <c r="K36" s="87"/>
      <c r="L36" s="217" t="s">
        <v>96</v>
      </c>
      <c r="M36" s="106"/>
      <c r="N36" s="105" t="s">
        <v>9</v>
      </c>
      <c r="O36" s="95"/>
      <c r="P36" s="108" t="s">
        <v>9</v>
      </c>
      <c r="Q36" s="95"/>
      <c r="R36" s="95" t="s">
        <v>9</v>
      </c>
      <c r="S36" s="95"/>
      <c r="T36" s="106" t="s">
        <v>9</v>
      </c>
      <c r="U36" s="104"/>
      <c r="V36" s="95" t="s">
        <v>9</v>
      </c>
      <c r="W36" s="151"/>
      <c r="X36" s="105" t="s">
        <v>9</v>
      </c>
      <c r="Y36" s="87"/>
      <c r="Z36" s="108" t="s">
        <v>9</v>
      </c>
      <c r="AA36" s="105" t="s">
        <v>9</v>
      </c>
      <c r="AB36" s="106"/>
      <c r="AC36" s="108"/>
      <c r="AD36" s="87" t="s">
        <v>9</v>
      </c>
      <c r="AE36" s="149"/>
      <c r="AF36" s="61" t="s">
        <v>9</v>
      </c>
      <c r="AH36" s="102" t="s">
        <v>9</v>
      </c>
      <c r="AI36" s="212">
        <v>138</v>
      </c>
    </row>
    <row r="37" spans="1:35" s="60" customFormat="1" ht="18" customHeight="1" x14ac:dyDescent="0.25">
      <c r="A37" s="161"/>
      <c r="B37" s="226" t="s">
        <v>110</v>
      </c>
      <c r="C37" s="157" t="s">
        <v>18</v>
      </c>
      <c r="D37" s="76" t="s">
        <v>19</v>
      </c>
      <c r="E37" s="78">
        <v>36</v>
      </c>
      <c r="F37" s="91">
        <v>12</v>
      </c>
      <c r="G37" s="151"/>
      <c r="H37" s="95"/>
      <c r="I37" s="87"/>
      <c r="J37" s="95"/>
      <c r="K37" s="87"/>
      <c r="L37" s="217" t="s">
        <v>96</v>
      </c>
      <c r="M37" s="106"/>
      <c r="N37" s="105"/>
      <c r="O37" s="95" t="s">
        <v>9</v>
      </c>
      <c r="P37" s="149"/>
      <c r="Q37" s="95"/>
      <c r="R37" s="90" t="s">
        <v>8</v>
      </c>
      <c r="S37" s="269" t="s">
        <v>9</v>
      </c>
      <c r="T37" s="106"/>
      <c r="U37" s="103"/>
      <c r="V37" s="95" t="s">
        <v>9</v>
      </c>
      <c r="W37" s="151"/>
      <c r="X37" s="105" t="s">
        <v>9</v>
      </c>
      <c r="Y37" s="87" t="s">
        <v>9</v>
      </c>
      <c r="Z37" s="149"/>
      <c r="AA37" s="105" t="s">
        <v>9</v>
      </c>
      <c r="AB37" s="151"/>
      <c r="AC37" s="108" t="s">
        <v>9</v>
      </c>
      <c r="AD37" s="90" t="s">
        <v>112</v>
      </c>
      <c r="AE37" s="149"/>
      <c r="AF37" s="61" t="s">
        <v>9</v>
      </c>
      <c r="AH37" s="102"/>
      <c r="AI37" s="212">
        <v>138</v>
      </c>
    </row>
    <row r="38" spans="1:35" s="60" customFormat="1" ht="18" customHeight="1" x14ac:dyDescent="0.25">
      <c r="A38" s="161"/>
      <c r="B38" s="226" t="s">
        <v>111</v>
      </c>
      <c r="C38" s="157" t="s">
        <v>18</v>
      </c>
      <c r="D38" s="76" t="s">
        <v>19</v>
      </c>
      <c r="E38" s="78">
        <v>36</v>
      </c>
      <c r="F38" s="91">
        <v>12</v>
      </c>
      <c r="G38" s="151"/>
      <c r="H38" s="95"/>
      <c r="I38" s="87"/>
      <c r="J38" s="216" t="s">
        <v>96</v>
      </c>
      <c r="K38" s="87"/>
      <c r="L38" s="87"/>
      <c r="M38" s="106" t="s">
        <v>9</v>
      </c>
      <c r="N38" s="105"/>
      <c r="O38" s="95" t="s">
        <v>9</v>
      </c>
      <c r="P38" s="149" t="s">
        <v>8</v>
      </c>
      <c r="Q38" s="95"/>
      <c r="R38" s="95" t="s">
        <v>9</v>
      </c>
      <c r="S38" s="95" t="s">
        <v>9</v>
      </c>
      <c r="T38" s="106"/>
      <c r="U38" s="104"/>
      <c r="V38" s="90" t="s">
        <v>8</v>
      </c>
      <c r="W38" s="151"/>
      <c r="X38" s="105"/>
      <c r="Y38" s="87" t="s">
        <v>9</v>
      </c>
      <c r="Z38" s="149"/>
      <c r="AA38" s="151" t="s">
        <v>8</v>
      </c>
      <c r="AB38" s="106"/>
      <c r="AC38" s="108"/>
      <c r="AD38" s="87" t="s">
        <v>9</v>
      </c>
      <c r="AE38" s="149"/>
      <c r="AF38" s="152" t="s">
        <v>8</v>
      </c>
      <c r="AH38" s="102" t="s">
        <v>9</v>
      </c>
      <c r="AI38" s="212">
        <v>138</v>
      </c>
    </row>
    <row r="39" spans="1:35" s="60" customFormat="1" ht="18" customHeight="1" x14ac:dyDescent="0.25">
      <c r="A39" s="161"/>
      <c r="B39" s="226" t="s">
        <v>123</v>
      </c>
      <c r="C39" s="157" t="s">
        <v>18</v>
      </c>
      <c r="D39" s="76" t="s">
        <v>19</v>
      </c>
      <c r="E39" s="78">
        <v>36</v>
      </c>
      <c r="F39" s="91">
        <v>12</v>
      </c>
      <c r="G39" s="151"/>
      <c r="H39" s="95"/>
      <c r="I39" s="87"/>
      <c r="J39" s="216"/>
      <c r="K39" s="87"/>
      <c r="L39" s="87"/>
      <c r="M39" s="106"/>
      <c r="N39" s="105"/>
      <c r="O39" s="95"/>
      <c r="P39" s="149"/>
      <c r="Q39" s="95"/>
      <c r="R39" s="90" t="s">
        <v>8</v>
      </c>
      <c r="S39" s="90" t="s">
        <v>8</v>
      </c>
      <c r="T39" s="106"/>
      <c r="U39" s="270" t="s">
        <v>9</v>
      </c>
      <c r="V39" s="90" t="s">
        <v>8</v>
      </c>
      <c r="W39" s="151"/>
      <c r="X39" s="151" t="s">
        <v>8</v>
      </c>
      <c r="Y39" s="90" t="s">
        <v>8</v>
      </c>
      <c r="Z39" s="149"/>
      <c r="AA39" s="271" t="s">
        <v>9</v>
      </c>
      <c r="AB39" s="106" t="s">
        <v>9</v>
      </c>
      <c r="AC39" s="108" t="s">
        <v>88</v>
      </c>
      <c r="AD39" s="90" t="s">
        <v>8</v>
      </c>
      <c r="AE39" s="149"/>
      <c r="AF39" s="152" t="s">
        <v>8</v>
      </c>
      <c r="AH39" s="102" t="s">
        <v>9</v>
      </c>
      <c r="AI39" s="212">
        <v>138</v>
      </c>
    </row>
    <row r="40" spans="1:35" s="60" customFormat="1" ht="18" customHeight="1" x14ac:dyDescent="0.25">
      <c r="A40" s="161"/>
      <c r="B40" s="226" t="s">
        <v>126</v>
      </c>
      <c r="C40" s="157" t="s">
        <v>18</v>
      </c>
      <c r="D40" s="76" t="s">
        <v>19</v>
      </c>
      <c r="E40" s="78">
        <v>36</v>
      </c>
      <c r="F40" s="91">
        <v>12</v>
      </c>
      <c r="G40" s="151"/>
      <c r="H40" s="95"/>
      <c r="I40" s="87"/>
      <c r="J40" s="216"/>
      <c r="K40" s="87"/>
      <c r="L40" s="87"/>
      <c r="M40" s="106"/>
      <c r="N40" s="105"/>
      <c r="O40" s="95"/>
      <c r="P40" s="149"/>
      <c r="Q40" s="216" t="s">
        <v>96</v>
      </c>
      <c r="R40" s="269" t="s">
        <v>9</v>
      </c>
      <c r="S40" s="269" t="s">
        <v>9</v>
      </c>
      <c r="T40" s="151" t="s">
        <v>8</v>
      </c>
      <c r="U40" s="270"/>
      <c r="V40" s="90" t="s">
        <v>8</v>
      </c>
      <c r="W40" s="151"/>
      <c r="X40" s="151" t="s">
        <v>8</v>
      </c>
      <c r="Y40" s="90"/>
      <c r="Z40" s="149" t="s">
        <v>8</v>
      </c>
      <c r="AA40" s="151" t="s">
        <v>8</v>
      </c>
      <c r="AB40" s="151"/>
      <c r="AC40" s="108" t="s">
        <v>9</v>
      </c>
      <c r="AD40" s="90" t="s">
        <v>8</v>
      </c>
      <c r="AE40" s="149"/>
      <c r="AF40" s="152" t="s">
        <v>8</v>
      </c>
      <c r="AH40" s="104" t="s">
        <v>8</v>
      </c>
      <c r="AI40" s="212">
        <v>138</v>
      </c>
    </row>
    <row r="41" spans="1:35" s="60" customFormat="1" ht="24.75" customHeight="1" x14ac:dyDescent="0.25">
      <c r="A41" s="161"/>
      <c r="B41" s="156" t="s">
        <v>95</v>
      </c>
      <c r="C41" s="157" t="s">
        <v>18</v>
      </c>
      <c r="D41" s="76" t="s">
        <v>19</v>
      </c>
      <c r="E41" s="78">
        <v>36</v>
      </c>
      <c r="F41" s="91">
        <f t="array" ref="F41">SUMPRODUCT((G41:AH41="SD")+(G41:AH41="SN")+(G41:AH41="MT")+(G41:AH41="8H")+(G41:AH41="N")+(G41:AH41="M")+(G41:AH41="T")+(G41:AH41="AE")+(G41:AH41="AB")+(G41:AH41="AA")+(G41:AH41="FC"))</f>
        <v>12</v>
      </c>
      <c r="G41" s="151" t="s">
        <v>8</v>
      </c>
      <c r="H41" s="95" t="s">
        <v>9</v>
      </c>
      <c r="I41" s="87"/>
      <c r="J41" s="216"/>
      <c r="K41" s="87"/>
      <c r="L41" s="217" t="s">
        <v>96</v>
      </c>
      <c r="M41" s="106"/>
      <c r="N41" s="105" t="s">
        <v>9</v>
      </c>
      <c r="O41" s="95"/>
      <c r="P41" s="149" t="s">
        <v>8</v>
      </c>
      <c r="Q41" s="95"/>
      <c r="R41" s="95"/>
      <c r="S41" s="95" t="s">
        <v>9</v>
      </c>
      <c r="T41" s="106"/>
      <c r="U41" s="103" t="s">
        <v>9</v>
      </c>
      <c r="V41" s="95"/>
      <c r="W41" s="151"/>
      <c r="X41" s="105" t="s">
        <v>9</v>
      </c>
      <c r="Y41" s="87"/>
      <c r="Z41" s="149" t="s">
        <v>8</v>
      </c>
      <c r="AA41" s="151"/>
      <c r="AB41" s="151"/>
      <c r="AC41" s="95" t="s">
        <v>9</v>
      </c>
      <c r="AD41" s="87"/>
      <c r="AE41" s="149" t="s">
        <v>8</v>
      </c>
      <c r="AF41" s="152"/>
      <c r="AH41" s="105" t="s">
        <v>9</v>
      </c>
      <c r="AI41" s="212">
        <f>SUMPRODUCT((G41:AH41="SD")*12 + (G41:AH41="SN")*12 + (G41:AH41="MT")*8 + (G41:AH41="M")*6 + (G41:AH41="T")*6)</f>
        <v>138</v>
      </c>
    </row>
    <row r="42" spans="1:35" ht="38.25" customHeight="1" x14ac:dyDescent="0.25">
      <c r="A42" s="163"/>
      <c r="B42" s="556" t="s">
        <v>0</v>
      </c>
      <c r="C42" s="556"/>
      <c r="D42" s="556"/>
      <c r="E42" s="556"/>
      <c r="F42" s="556"/>
      <c r="G42" s="556"/>
      <c r="H42" s="556"/>
      <c r="I42" s="556"/>
      <c r="J42" s="556"/>
      <c r="K42" s="556"/>
      <c r="L42" s="556"/>
      <c r="M42" s="556"/>
      <c r="N42" s="557" t="s">
        <v>86</v>
      </c>
      <c r="O42" s="557"/>
      <c r="P42" s="557"/>
      <c r="Q42" s="557"/>
      <c r="R42" s="557"/>
      <c r="S42" s="557"/>
      <c r="T42" s="557"/>
      <c r="U42" s="557"/>
      <c r="V42" s="557"/>
      <c r="W42" s="557"/>
      <c r="X42" s="557"/>
      <c r="Y42" s="557"/>
      <c r="Z42" s="557"/>
      <c r="AA42" s="557"/>
      <c r="AB42" s="557"/>
      <c r="AC42" s="557"/>
      <c r="AD42" s="557"/>
      <c r="AE42" s="557"/>
      <c r="AF42" s="557"/>
      <c r="AG42" s="557"/>
      <c r="AH42" s="557"/>
      <c r="AI42" s="558"/>
    </row>
    <row r="43" spans="1:35" x14ac:dyDescent="0.25">
      <c r="A43" s="581" t="s">
        <v>103</v>
      </c>
      <c r="B43" s="582"/>
      <c r="C43" s="582"/>
      <c r="D43" s="582"/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</row>
    <row r="44" spans="1:35" x14ac:dyDescent="0.25">
      <c r="A44" s="582"/>
      <c r="B44" s="582"/>
      <c r="C44" s="582"/>
      <c r="D44" s="582"/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  <c r="AH44" s="582"/>
      <c r="AI44" s="582"/>
    </row>
    <row r="45" spans="1:35" x14ac:dyDescent="0.25">
      <c r="A45" s="582"/>
      <c r="B45" s="582"/>
      <c r="C45" s="582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</row>
  </sheetData>
  <mergeCells count="10">
    <mergeCell ref="B42:M42"/>
    <mergeCell ref="N42:AI42"/>
    <mergeCell ref="P2:AH2"/>
    <mergeCell ref="A43:AI45"/>
    <mergeCell ref="C1:AG1"/>
    <mergeCell ref="AH1:AI1"/>
    <mergeCell ref="A2:A3"/>
    <mergeCell ref="B2:E3"/>
    <mergeCell ref="G2:J2"/>
    <mergeCell ref="K2:O2"/>
  </mergeCells>
  <pageMargins left="0.25" right="0.25" top="0.75" bottom="0.75" header="0.3" footer="0.3"/>
  <pageSetup paperSize="9" scale="6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40"/>
  <sheetViews>
    <sheetView showGridLines="0" zoomScale="73" zoomScaleNormal="73" workbookViewId="0">
      <pane xSplit="6" ySplit="4" topLeftCell="J17" activePane="bottomRight" state="frozen"/>
      <selection pane="topRight" activeCell="G1" sqref="G1"/>
      <selection pane="bottomLeft" activeCell="A5" sqref="A5"/>
      <selection pane="bottomRight" activeCell="B20" sqref="B20"/>
    </sheetView>
  </sheetViews>
  <sheetFormatPr defaultRowHeight="13.2" x14ac:dyDescent="0.25"/>
  <cols>
    <col min="1" max="1" width="17.33203125" customWidth="1"/>
    <col min="2" max="2" width="33" bestFit="1" customWidth="1"/>
    <col min="3" max="3" width="27.44140625" bestFit="1" customWidth="1"/>
    <col min="4" max="4" width="11.109375" bestFit="1" customWidth="1"/>
    <col min="5" max="5" width="5.109375" bestFit="1" customWidth="1"/>
    <col min="6" max="6" width="11" bestFit="1" customWidth="1"/>
    <col min="7" max="7" width="7.33203125" bestFit="1" customWidth="1"/>
    <col min="8" max="9" width="6.44140625" bestFit="1" customWidth="1"/>
    <col min="10" max="10" width="6.6640625" bestFit="1" customWidth="1"/>
    <col min="11" max="11" width="5.6640625" bestFit="1" customWidth="1"/>
    <col min="12" max="12" width="6.109375" bestFit="1" customWidth="1"/>
    <col min="13" max="13" width="6.44140625" bestFit="1" customWidth="1"/>
    <col min="14" max="14" width="7.33203125" bestFit="1" customWidth="1"/>
    <col min="15" max="16" width="6.44140625" bestFit="1" customWidth="1"/>
    <col min="17" max="17" width="6.6640625" bestFit="1" customWidth="1"/>
    <col min="18" max="18" width="6" bestFit="1" customWidth="1"/>
    <col min="19" max="19" width="6.109375" bestFit="1" customWidth="1"/>
    <col min="20" max="20" width="6.44140625" bestFit="1" customWidth="1"/>
    <col min="21" max="21" width="7.33203125" bestFit="1" customWidth="1"/>
    <col min="22" max="23" width="6.44140625" bestFit="1" customWidth="1"/>
    <col min="24" max="24" width="6.6640625" bestFit="1" customWidth="1"/>
    <col min="25" max="25" width="8.6640625" bestFit="1" customWidth="1"/>
    <col min="26" max="27" width="6.44140625" bestFit="1" customWidth="1"/>
    <col min="28" max="28" width="7.33203125" bestFit="1" customWidth="1"/>
    <col min="29" max="30" width="6.44140625" bestFit="1" customWidth="1"/>
    <col min="31" max="31" width="6.6640625" bestFit="1" customWidth="1"/>
    <col min="32" max="32" width="6.44140625" bestFit="1" customWidth="1"/>
    <col min="33" max="33" width="6.33203125" customWidth="1"/>
    <col min="34" max="34" width="6.44140625" bestFit="1" customWidth="1"/>
    <col min="35" max="35" width="12.77734375" customWidth="1"/>
  </cols>
  <sheetData>
    <row r="1" spans="1:35" ht="65.25" customHeight="1" x14ac:dyDescent="0.25">
      <c r="A1" s="536"/>
      <c r="B1" s="537"/>
      <c r="C1" s="594" t="s">
        <v>63</v>
      </c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6"/>
      <c r="AH1" s="594" t="s">
        <v>104</v>
      </c>
      <c r="AI1" s="597"/>
    </row>
    <row r="2" spans="1:35" x14ac:dyDescent="0.25">
      <c r="A2" s="544" t="s">
        <v>12</v>
      </c>
      <c r="B2" s="546" t="s">
        <v>13</v>
      </c>
      <c r="C2" s="547"/>
      <c r="D2" s="547"/>
      <c r="E2" s="548"/>
      <c r="F2" s="12"/>
      <c r="G2" s="551" t="s">
        <v>3</v>
      </c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3"/>
    </row>
    <row r="3" spans="1:35" ht="21.75" customHeight="1" x14ac:dyDescent="0.25">
      <c r="A3" s="545"/>
      <c r="B3" s="549"/>
      <c r="C3" s="550"/>
      <c r="D3" s="550"/>
      <c r="E3" s="550"/>
      <c r="F3" s="20"/>
      <c r="G3" s="13" t="str">
        <f>UPPER(TEXT(G4,"ddd"))</f>
        <v>DOM</v>
      </c>
      <c r="H3" s="13" t="str">
        <f t="shared" ref="H3:AH3" si="0">UPPER(TEXT(H4,"ddd"))</f>
        <v>SEG</v>
      </c>
      <c r="I3" s="13" t="str">
        <f t="shared" si="0"/>
        <v>TER</v>
      </c>
      <c r="J3" s="13" t="str">
        <f t="shared" si="0"/>
        <v>QUA</v>
      </c>
      <c r="K3" s="13" t="str">
        <f t="shared" si="0"/>
        <v>QUI</v>
      </c>
      <c r="L3" s="13" t="str">
        <f t="shared" si="0"/>
        <v>SEX</v>
      </c>
      <c r="M3" s="13" t="str">
        <f t="shared" si="0"/>
        <v>SÁB</v>
      </c>
      <c r="N3" s="13" t="str">
        <f t="shared" si="0"/>
        <v>DOM</v>
      </c>
      <c r="O3" s="13" t="str">
        <f t="shared" si="0"/>
        <v>SEG</v>
      </c>
      <c r="P3" s="13" t="str">
        <f t="shared" si="0"/>
        <v>TER</v>
      </c>
      <c r="Q3" s="13" t="str">
        <f t="shared" si="0"/>
        <v>QUA</v>
      </c>
      <c r="R3" s="13" t="str">
        <f t="shared" si="0"/>
        <v>QUI</v>
      </c>
      <c r="S3" s="13" t="str">
        <f t="shared" si="0"/>
        <v>SEX</v>
      </c>
      <c r="T3" s="13" t="str">
        <f t="shared" si="0"/>
        <v>SÁB</v>
      </c>
      <c r="U3" s="13" t="str">
        <f t="shared" si="0"/>
        <v>DOM</v>
      </c>
      <c r="V3" s="13" t="str">
        <f t="shared" si="0"/>
        <v>SEG</v>
      </c>
      <c r="W3" s="13" t="str">
        <f t="shared" si="0"/>
        <v>TER</v>
      </c>
      <c r="X3" s="13" t="str">
        <f t="shared" si="0"/>
        <v>QUA</v>
      </c>
      <c r="Y3" s="13" t="str">
        <f t="shared" si="0"/>
        <v>QUI</v>
      </c>
      <c r="Z3" s="13" t="str">
        <f t="shared" si="0"/>
        <v>SEX</v>
      </c>
      <c r="AA3" s="13" t="str">
        <f t="shared" si="0"/>
        <v>SÁB</v>
      </c>
      <c r="AB3" s="13" t="str">
        <f t="shared" si="0"/>
        <v>DOM</v>
      </c>
      <c r="AC3" s="13" t="str">
        <f t="shared" si="0"/>
        <v>SEG</v>
      </c>
      <c r="AD3" s="13" t="str">
        <f t="shared" si="0"/>
        <v>TER</v>
      </c>
      <c r="AE3" s="13" t="str">
        <f t="shared" si="0"/>
        <v>QUA</v>
      </c>
      <c r="AF3" s="13" t="str">
        <f t="shared" si="0"/>
        <v>QUI</v>
      </c>
      <c r="AG3" s="13" t="str">
        <f t="shared" si="0"/>
        <v>SEX</v>
      </c>
      <c r="AH3" s="13" t="str">
        <f t="shared" si="0"/>
        <v>SÁB</v>
      </c>
      <c r="AI3" s="14" t="s">
        <v>16</v>
      </c>
    </row>
    <row r="4" spans="1:35" ht="17.25" customHeight="1" x14ac:dyDescent="0.25">
      <c r="A4" s="22" t="s">
        <v>17</v>
      </c>
      <c r="B4" s="22" t="s">
        <v>41</v>
      </c>
      <c r="C4" s="22" t="s">
        <v>4</v>
      </c>
      <c r="D4" s="22" t="s">
        <v>5</v>
      </c>
      <c r="E4" s="22" t="s">
        <v>6</v>
      </c>
      <c r="F4" s="24" t="s">
        <v>11</v>
      </c>
      <c r="G4" s="17">
        <v>46054</v>
      </c>
      <c r="H4" s="15">
        <f>G4+1</f>
        <v>46055</v>
      </c>
      <c r="I4" s="15">
        <f t="shared" ref="I4:AG4" si="1">H4+1</f>
        <v>46056</v>
      </c>
      <c r="J4" s="15">
        <f t="shared" si="1"/>
        <v>46057</v>
      </c>
      <c r="K4" s="15">
        <f t="shared" si="1"/>
        <v>46058</v>
      </c>
      <c r="L4" s="15">
        <f t="shared" si="1"/>
        <v>46059</v>
      </c>
      <c r="M4" s="15">
        <f t="shared" si="1"/>
        <v>46060</v>
      </c>
      <c r="N4" s="15">
        <f t="shared" si="1"/>
        <v>46061</v>
      </c>
      <c r="O4" s="15">
        <f t="shared" si="1"/>
        <v>46062</v>
      </c>
      <c r="P4" s="15">
        <f t="shared" si="1"/>
        <v>46063</v>
      </c>
      <c r="Q4" s="15">
        <f t="shared" si="1"/>
        <v>46064</v>
      </c>
      <c r="R4" s="15">
        <f t="shared" si="1"/>
        <v>46065</v>
      </c>
      <c r="S4" s="15">
        <f t="shared" si="1"/>
        <v>46066</v>
      </c>
      <c r="T4" s="15">
        <f t="shared" si="1"/>
        <v>46067</v>
      </c>
      <c r="U4" s="15">
        <f t="shared" si="1"/>
        <v>46068</v>
      </c>
      <c r="V4" s="15">
        <f t="shared" si="1"/>
        <v>46069</v>
      </c>
      <c r="W4" s="15">
        <f t="shared" si="1"/>
        <v>46070</v>
      </c>
      <c r="X4" s="15">
        <f t="shared" si="1"/>
        <v>46071</v>
      </c>
      <c r="Y4" s="15">
        <f t="shared" si="1"/>
        <v>46072</v>
      </c>
      <c r="Z4" s="15">
        <f t="shared" si="1"/>
        <v>46073</v>
      </c>
      <c r="AA4" s="15">
        <f t="shared" si="1"/>
        <v>46074</v>
      </c>
      <c r="AB4" s="15">
        <f t="shared" si="1"/>
        <v>46075</v>
      </c>
      <c r="AC4" s="15">
        <f t="shared" si="1"/>
        <v>46076</v>
      </c>
      <c r="AD4" s="15">
        <f t="shared" si="1"/>
        <v>46077</v>
      </c>
      <c r="AE4" s="15">
        <f t="shared" si="1"/>
        <v>46078</v>
      </c>
      <c r="AF4" s="15">
        <f t="shared" si="1"/>
        <v>46079</v>
      </c>
      <c r="AG4" s="15">
        <f t="shared" si="1"/>
        <v>46080</v>
      </c>
      <c r="AH4" s="15">
        <f>AG4+1</f>
        <v>46081</v>
      </c>
      <c r="AI4" s="16" t="s">
        <v>2</v>
      </c>
    </row>
    <row r="5" spans="1:35" ht="21" customHeight="1" x14ac:dyDescent="0.25">
      <c r="A5" s="53">
        <v>17875</v>
      </c>
      <c r="B5" s="52" t="s">
        <v>42</v>
      </c>
      <c r="C5" s="25" t="s">
        <v>18</v>
      </c>
      <c r="D5" s="25" t="s">
        <v>37</v>
      </c>
      <c r="E5" s="23">
        <v>36</v>
      </c>
      <c r="F5" s="168">
        <f t="shared" ref="F5:F36" si="2">SUMPRODUCT((G5:AH5="SD")+(G5:AH5="SN")+(G5:AH5="MT")+(G5:AH5="8H")+(G5:AH5="N")+(G5:AH5="M")+(G5:AH5="T")+(G5:AH5="AE")+(G5:AH5="AB")+(G5:AH5="AA")+(G5:AH5="FC"))</f>
        <v>12</v>
      </c>
      <c r="G5" s="173"/>
      <c r="H5" s="37" t="s">
        <v>8</v>
      </c>
      <c r="I5" s="33"/>
      <c r="J5" s="164"/>
      <c r="K5" s="33" t="s">
        <v>9</v>
      </c>
      <c r="L5" s="208" t="s">
        <v>96</v>
      </c>
      <c r="M5" s="174"/>
      <c r="N5" s="34" t="s">
        <v>9</v>
      </c>
      <c r="O5" s="37"/>
      <c r="P5" s="37" t="s">
        <v>8</v>
      </c>
      <c r="Q5" s="37"/>
      <c r="R5" s="33"/>
      <c r="S5" s="164" t="s">
        <v>9</v>
      </c>
      <c r="T5" s="166"/>
      <c r="U5" s="166" t="s">
        <v>8</v>
      </c>
      <c r="V5" s="37"/>
      <c r="W5" s="34"/>
      <c r="X5" s="174" t="s">
        <v>9</v>
      </c>
      <c r="Y5" s="33"/>
      <c r="Z5" s="37" t="s">
        <v>8</v>
      </c>
      <c r="AA5" s="174"/>
      <c r="AB5" s="166"/>
      <c r="AC5" s="164" t="s">
        <v>9</v>
      </c>
      <c r="AD5" s="33"/>
      <c r="AE5" s="37" t="s">
        <v>8</v>
      </c>
      <c r="AF5" s="37"/>
      <c r="AG5" s="33"/>
      <c r="AH5" s="199" t="s">
        <v>9</v>
      </c>
      <c r="AI5" s="5">
        <f t="shared" ref="AI5:AI36" si="3">SUMPRODUCT((G5:AH5="SD")*12 + (G5:AH5="SN")*12 + (G5:AH5="MT")*8 + (G5:AH5="M")*6 + (G5:AH5="T")*6)</f>
        <v>138</v>
      </c>
    </row>
    <row r="6" spans="1:35" ht="21" customHeight="1" x14ac:dyDescent="0.3">
      <c r="A6" s="84">
        <v>17871</v>
      </c>
      <c r="B6" s="42" t="s">
        <v>66</v>
      </c>
      <c r="C6" s="42" t="s">
        <v>18</v>
      </c>
      <c r="D6" s="42" t="s">
        <v>37</v>
      </c>
      <c r="E6" s="43">
        <v>36</v>
      </c>
      <c r="F6" s="168">
        <f t="shared" si="2"/>
        <v>12</v>
      </c>
      <c r="G6" s="165"/>
      <c r="H6" s="45"/>
      <c r="I6" s="33" t="s">
        <v>9</v>
      </c>
      <c r="J6" s="164"/>
      <c r="K6" s="37" t="s">
        <v>8</v>
      </c>
      <c r="L6" s="208" t="s">
        <v>96</v>
      </c>
      <c r="M6" s="174"/>
      <c r="N6" s="34" t="s">
        <v>9</v>
      </c>
      <c r="O6" s="37"/>
      <c r="P6" s="37" t="s">
        <v>8</v>
      </c>
      <c r="Q6" s="37"/>
      <c r="R6" s="33"/>
      <c r="S6" s="164" t="s">
        <v>9</v>
      </c>
      <c r="T6" s="166"/>
      <c r="U6" s="166" t="s">
        <v>8</v>
      </c>
      <c r="V6" s="37"/>
      <c r="W6" s="34"/>
      <c r="X6" s="174" t="s">
        <v>9</v>
      </c>
      <c r="Y6" s="33"/>
      <c r="Z6" s="37" t="s">
        <v>8</v>
      </c>
      <c r="AA6" s="174"/>
      <c r="AB6" s="166"/>
      <c r="AC6" s="164" t="s">
        <v>9</v>
      </c>
      <c r="AD6" s="33"/>
      <c r="AE6" s="37" t="s">
        <v>8</v>
      </c>
      <c r="AF6" s="48"/>
      <c r="AG6" s="49"/>
      <c r="AH6" s="199" t="s">
        <v>9</v>
      </c>
      <c r="AI6" s="5">
        <f t="shared" si="3"/>
        <v>138</v>
      </c>
    </row>
    <row r="7" spans="1:35" ht="21" customHeight="1" x14ac:dyDescent="0.25">
      <c r="A7" s="53"/>
      <c r="B7" s="110" t="s">
        <v>87</v>
      </c>
      <c r="C7" s="25" t="s">
        <v>18</v>
      </c>
      <c r="D7" s="25" t="s">
        <v>37</v>
      </c>
      <c r="E7" s="23">
        <v>36</v>
      </c>
      <c r="F7" s="168">
        <f t="shared" si="2"/>
        <v>12</v>
      </c>
      <c r="G7" s="173"/>
      <c r="H7" s="41"/>
      <c r="I7" s="33" t="s">
        <v>9</v>
      </c>
      <c r="J7" s="164"/>
      <c r="K7" s="33" t="s">
        <v>9</v>
      </c>
      <c r="L7" s="208" t="s">
        <v>96</v>
      </c>
      <c r="M7" s="174"/>
      <c r="N7" s="166" t="s">
        <v>8</v>
      </c>
      <c r="O7" s="37"/>
      <c r="P7" s="37" t="s">
        <v>8</v>
      </c>
      <c r="Q7" s="37"/>
      <c r="R7" s="33"/>
      <c r="S7" s="164" t="s">
        <v>9</v>
      </c>
      <c r="T7" s="166"/>
      <c r="U7" s="166" t="s">
        <v>8</v>
      </c>
      <c r="V7" s="37"/>
      <c r="W7" s="34"/>
      <c r="X7" s="174" t="s">
        <v>9</v>
      </c>
      <c r="Y7" s="33"/>
      <c r="Z7" s="37" t="s">
        <v>8</v>
      </c>
      <c r="AA7" s="174"/>
      <c r="AB7" s="166"/>
      <c r="AC7" s="164" t="s">
        <v>9</v>
      </c>
      <c r="AD7" s="33"/>
      <c r="AE7" s="37" t="s">
        <v>8</v>
      </c>
      <c r="AF7" s="175"/>
      <c r="AG7" s="172"/>
      <c r="AH7" s="199" t="s">
        <v>9</v>
      </c>
      <c r="AI7" s="5">
        <f t="shared" si="3"/>
        <v>138</v>
      </c>
    </row>
    <row r="8" spans="1:35" ht="21" customHeight="1" x14ac:dyDescent="0.25">
      <c r="A8" s="53">
        <v>17862</v>
      </c>
      <c r="B8" s="52" t="s">
        <v>43</v>
      </c>
      <c r="C8" s="25" t="s">
        <v>18</v>
      </c>
      <c r="D8" s="25" t="s">
        <v>37</v>
      </c>
      <c r="E8" s="23">
        <v>36</v>
      </c>
      <c r="F8" s="168">
        <f t="shared" si="2"/>
        <v>11</v>
      </c>
      <c r="G8" s="167" t="s">
        <v>8</v>
      </c>
      <c r="H8" s="6"/>
      <c r="I8" s="33"/>
      <c r="J8" s="33" t="s">
        <v>9</v>
      </c>
      <c r="K8" s="164"/>
      <c r="L8" s="37" t="s">
        <v>8</v>
      </c>
      <c r="M8" s="174"/>
      <c r="N8" s="34"/>
      <c r="O8" s="164" t="s">
        <v>9</v>
      </c>
      <c r="P8" s="37"/>
      <c r="Q8" s="37" t="s">
        <v>8</v>
      </c>
      <c r="R8" s="164"/>
      <c r="S8" s="33"/>
      <c r="T8" s="174" t="s">
        <v>9</v>
      </c>
      <c r="U8" s="166"/>
      <c r="V8" s="37" t="s">
        <v>8</v>
      </c>
      <c r="W8" s="174"/>
      <c r="X8" s="34"/>
      <c r="Y8" s="164" t="s">
        <v>9</v>
      </c>
      <c r="Z8" s="164"/>
      <c r="AA8" s="166" t="s">
        <v>8</v>
      </c>
      <c r="AB8" s="174"/>
      <c r="AC8" s="33"/>
      <c r="AD8" s="164" t="s">
        <v>9</v>
      </c>
      <c r="AE8" s="33"/>
      <c r="AF8" s="37" t="s">
        <v>8</v>
      </c>
      <c r="AG8" s="172"/>
      <c r="AH8" s="199"/>
      <c r="AI8" s="5">
        <f t="shared" si="3"/>
        <v>132</v>
      </c>
    </row>
    <row r="9" spans="1:35" ht="21" customHeight="1" x14ac:dyDescent="0.25">
      <c r="A9" s="53">
        <v>17840</v>
      </c>
      <c r="B9" s="52" t="s">
        <v>44</v>
      </c>
      <c r="C9" s="25" t="s">
        <v>18</v>
      </c>
      <c r="D9" s="25" t="s">
        <v>37</v>
      </c>
      <c r="E9" s="23">
        <v>36</v>
      </c>
      <c r="F9" s="168">
        <f t="shared" si="2"/>
        <v>11</v>
      </c>
      <c r="G9" s="167" t="s">
        <v>8</v>
      </c>
      <c r="H9" s="41"/>
      <c r="I9" s="33"/>
      <c r="J9" s="33" t="s">
        <v>9</v>
      </c>
      <c r="K9" s="33"/>
      <c r="L9" s="37" t="s">
        <v>8</v>
      </c>
      <c r="M9" s="174"/>
      <c r="N9" s="174"/>
      <c r="O9" s="164" t="s">
        <v>9</v>
      </c>
      <c r="P9" s="37"/>
      <c r="Q9" s="37" t="s">
        <v>8</v>
      </c>
      <c r="R9" s="164"/>
      <c r="S9" s="33"/>
      <c r="T9" s="174" t="s">
        <v>9</v>
      </c>
      <c r="U9" s="166"/>
      <c r="V9" s="37" t="s">
        <v>8</v>
      </c>
      <c r="W9" s="174"/>
      <c r="X9" s="34"/>
      <c r="Y9" s="164" t="s">
        <v>9</v>
      </c>
      <c r="Z9" s="164"/>
      <c r="AA9" s="166" t="s">
        <v>8</v>
      </c>
      <c r="AB9" s="174"/>
      <c r="AC9" s="33"/>
      <c r="AD9" s="164" t="s">
        <v>9</v>
      </c>
      <c r="AE9" s="33"/>
      <c r="AF9" s="37" t="s">
        <v>8</v>
      </c>
      <c r="AG9" s="172"/>
      <c r="AH9" s="199"/>
      <c r="AI9" s="5">
        <f t="shared" si="3"/>
        <v>132</v>
      </c>
    </row>
    <row r="10" spans="1:35" ht="21" customHeight="1" x14ac:dyDescent="0.25">
      <c r="A10" s="83"/>
      <c r="B10" s="52" t="s">
        <v>45</v>
      </c>
      <c r="C10" s="25" t="s">
        <v>18</v>
      </c>
      <c r="D10" s="25" t="s">
        <v>37</v>
      </c>
      <c r="E10" s="23">
        <v>36</v>
      </c>
      <c r="F10" s="168">
        <f t="shared" si="2"/>
        <v>11</v>
      </c>
      <c r="G10" s="167" t="s">
        <v>8</v>
      </c>
      <c r="H10" s="41"/>
      <c r="I10" s="33"/>
      <c r="J10" s="33" t="s">
        <v>9</v>
      </c>
      <c r="K10" s="37"/>
      <c r="L10" s="37" t="s">
        <v>8</v>
      </c>
      <c r="M10" s="174"/>
      <c r="N10" s="34"/>
      <c r="O10" s="164" t="s">
        <v>9</v>
      </c>
      <c r="P10" s="37"/>
      <c r="Q10" s="33" t="s">
        <v>9</v>
      </c>
      <c r="R10" s="164"/>
      <c r="S10" s="33"/>
      <c r="T10" s="174" t="s">
        <v>9</v>
      </c>
      <c r="U10" s="166"/>
      <c r="V10" s="37" t="s">
        <v>8</v>
      </c>
      <c r="W10" s="174"/>
      <c r="X10" s="34"/>
      <c r="Y10" s="164" t="s">
        <v>9</v>
      </c>
      <c r="Z10" s="164"/>
      <c r="AA10" s="166" t="s">
        <v>8</v>
      </c>
      <c r="AB10" s="174"/>
      <c r="AC10" s="33"/>
      <c r="AD10" s="164" t="s">
        <v>9</v>
      </c>
      <c r="AE10" s="33"/>
      <c r="AF10" s="37" t="s">
        <v>8</v>
      </c>
      <c r="AG10" s="172"/>
      <c r="AH10" s="199"/>
      <c r="AI10" s="5">
        <f t="shared" si="3"/>
        <v>132</v>
      </c>
    </row>
    <row r="11" spans="1:35" ht="21" customHeight="1" x14ac:dyDescent="0.25">
      <c r="A11" s="85">
        <v>17869</v>
      </c>
      <c r="B11" s="52" t="s">
        <v>10</v>
      </c>
      <c r="C11" s="25" t="s">
        <v>18</v>
      </c>
      <c r="D11" s="25" t="s">
        <v>37</v>
      </c>
      <c r="E11" s="23">
        <v>36</v>
      </c>
      <c r="F11" s="168">
        <f t="shared" si="2"/>
        <v>12</v>
      </c>
      <c r="G11" s="173"/>
      <c r="H11" s="33" t="s">
        <v>9</v>
      </c>
      <c r="I11" s="164"/>
      <c r="J11" s="37" t="s">
        <v>8</v>
      </c>
      <c r="K11" s="33"/>
      <c r="L11" s="208" t="s">
        <v>96</v>
      </c>
      <c r="M11" s="34" t="s">
        <v>9</v>
      </c>
      <c r="N11" s="34"/>
      <c r="O11" s="37" t="s">
        <v>8</v>
      </c>
      <c r="P11" s="164"/>
      <c r="Q11" s="164"/>
      <c r="R11" s="33" t="s">
        <v>9</v>
      </c>
      <c r="S11" s="164"/>
      <c r="T11" s="166" t="s">
        <v>8</v>
      </c>
      <c r="U11" s="174"/>
      <c r="V11" s="164"/>
      <c r="W11" s="34" t="s">
        <v>9</v>
      </c>
      <c r="X11" s="174"/>
      <c r="Y11" s="37" t="s">
        <v>8</v>
      </c>
      <c r="Z11" s="164"/>
      <c r="AA11" s="34"/>
      <c r="AB11" s="34" t="s">
        <v>9</v>
      </c>
      <c r="AC11" s="172"/>
      <c r="AD11" s="37" t="s">
        <v>8</v>
      </c>
      <c r="AE11" s="172"/>
      <c r="AF11" s="164"/>
      <c r="AG11" s="164" t="s">
        <v>9</v>
      </c>
      <c r="AH11" s="199"/>
      <c r="AI11" s="5">
        <f t="shared" si="3"/>
        <v>138</v>
      </c>
    </row>
    <row r="12" spans="1:35" ht="21" customHeight="1" x14ac:dyDescent="0.25">
      <c r="A12" s="85">
        <v>17832</v>
      </c>
      <c r="B12" s="52" t="s">
        <v>46</v>
      </c>
      <c r="C12" s="25" t="s">
        <v>18</v>
      </c>
      <c r="D12" s="25" t="s">
        <v>37</v>
      </c>
      <c r="E12" s="23">
        <v>36</v>
      </c>
      <c r="F12" s="168">
        <f t="shared" si="2"/>
        <v>12</v>
      </c>
      <c r="G12" s="35"/>
      <c r="H12" s="41" t="s">
        <v>9</v>
      </c>
      <c r="I12" s="33"/>
      <c r="J12" s="37" t="s">
        <v>8</v>
      </c>
      <c r="K12" s="164"/>
      <c r="L12" s="209" t="s">
        <v>96</v>
      </c>
      <c r="M12" s="174" t="s">
        <v>9</v>
      </c>
      <c r="N12" s="34"/>
      <c r="O12" s="37" t="s">
        <v>8</v>
      </c>
      <c r="P12" s="33"/>
      <c r="Q12" s="164"/>
      <c r="R12" s="41" t="s">
        <v>9</v>
      </c>
      <c r="S12" s="33"/>
      <c r="T12" s="166" t="s">
        <v>8</v>
      </c>
      <c r="U12" s="34"/>
      <c r="V12" s="164"/>
      <c r="W12" s="174" t="s">
        <v>9</v>
      </c>
      <c r="X12" s="34"/>
      <c r="Y12" s="37" t="s">
        <v>8</v>
      </c>
      <c r="Z12" s="33"/>
      <c r="AA12" s="174"/>
      <c r="AB12" s="174" t="s">
        <v>9</v>
      </c>
      <c r="AC12" s="172"/>
      <c r="AD12" s="37" t="s">
        <v>8</v>
      </c>
      <c r="AE12" s="172"/>
      <c r="AF12" s="164"/>
      <c r="AG12" s="164" t="s">
        <v>9</v>
      </c>
      <c r="AH12" s="200"/>
      <c r="AI12" s="5">
        <f t="shared" si="3"/>
        <v>138</v>
      </c>
    </row>
    <row r="13" spans="1:35" ht="21" customHeight="1" x14ac:dyDescent="0.25">
      <c r="A13" s="85">
        <v>17876</v>
      </c>
      <c r="B13" s="52" t="s">
        <v>47</v>
      </c>
      <c r="C13" s="25" t="s">
        <v>18</v>
      </c>
      <c r="D13" s="25" t="s">
        <v>37</v>
      </c>
      <c r="E13" s="23">
        <v>36</v>
      </c>
      <c r="F13" s="168">
        <f t="shared" si="2"/>
        <v>12</v>
      </c>
      <c r="G13" s="35"/>
      <c r="H13" s="41" t="s">
        <v>9</v>
      </c>
      <c r="I13" s="164"/>
      <c r="J13" s="37" t="s">
        <v>8</v>
      </c>
      <c r="K13" s="164"/>
      <c r="L13" s="209" t="s">
        <v>96</v>
      </c>
      <c r="M13" s="174" t="s">
        <v>9</v>
      </c>
      <c r="N13" s="34"/>
      <c r="O13" s="37" t="s">
        <v>8</v>
      </c>
      <c r="P13" s="164"/>
      <c r="Q13" s="33"/>
      <c r="R13" s="41" t="s">
        <v>9</v>
      </c>
      <c r="S13" s="164"/>
      <c r="T13" s="166" t="s">
        <v>8</v>
      </c>
      <c r="U13" s="174"/>
      <c r="V13" s="33"/>
      <c r="W13" s="174" t="s">
        <v>9</v>
      </c>
      <c r="X13" s="174"/>
      <c r="Y13" s="37" t="s">
        <v>8</v>
      </c>
      <c r="Z13" s="164"/>
      <c r="AA13" s="34"/>
      <c r="AB13" s="174" t="s">
        <v>9</v>
      </c>
      <c r="AC13" s="172"/>
      <c r="AD13" s="37" t="s">
        <v>8</v>
      </c>
      <c r="AE13" s="172"/>
      <c r="AF13" s="33"/>
      <c r="AG13" s="164" t="s">
        <v>9</v>
      </c>
      <c r="AH13" s="200"/>
      <c r="AI13" s="5">
        <f t="shared" si="3"/>
        <v>138</v>
      </c>
    </row>
    <row r="14" spans="1:35" ht="21" customHeight="1" x14ac:dyDescent="0.25">
      <c r="A14" s="85">
        <v>17835</v>
      </c>
      <c r="B14" s="52" t="s">
        <v>48</v>
      </c>
      <c r="C14" s="25" t="s">
        <v>18</v>
      </c>
      <c r="D14" s="25" t="s">
        <v>37</v>
      </c>
      <c r="E14" s="23">
        <v>36</v>
      </c>
      <c r="F14" s="168">
        <f t="shared" si="2"/>
        <v>12</v>
      </c>
      <c r="G14" s="35"/>
      <c r="H14" s="41" t="s">
        <v>9</v>
      </c>
      <c r="I14" s="164"/>
      <c r="J14" s="33" t="s">
        <v>9</v>
      </c>
      <c r="K14" s="164"/>
      <c r="L14" s="209" t="s">
        <v>96</v>
      </c>
      <c r="M14" s="166" t="s">
        <v>8</v>
      </c>
      <c r="N14" s="34"/>
      <c r="O14" s="37" t="s">
        <v>8</v>
      </c>
      <c r="P14" s="164"/>
      <c r="Q14" s="33"/>
      <c r="R14" s="41" t="s">
        <v>9</v>
      </c>
      <c r="S14" s="164"/>
      <c r="T14" s="166" t="s">
        <v>8</v>
      </c>
      <c r="U14" s="174"/>
      <c r="V14" s="33"/>
      <c r="W14" s="174" t="s">
        <v>9</v>
      </c>
      <c r="X14" s="174"/>
      <c r="Y14" s="37" t="s">
        <v>8</v>
      </c>
      <c r="Z14" s="164"/>
      <c r="AA14" s="34"/>
      <c r="AB14" s="174" t="s">
        <v>9</v>
      </c>
      <c r="AC14" s="172"/>
      <c r="AD14" s="37" t="s">
        <v>8</v>
      </c>
      <c r="AE14" s="172"/>
      <c r="AF14" s="33"/>
      <c r="AG14" s="164" t="s">
        <v>9</v>
      </c>
      <c r="AH14" s="200"/>
      <c r="AI14" s="5">
        <f t="shared" si="3"/>
        <v>138</v>
      </c>
    </row>
    <row r="15" spans="1:35" ht="21" customHeight="1" x14ac:dyDescent="0.25">
      <c r="A15" s="85">
        <v>17847</v>
      </c>
      <c r="B15" s="52" t="s">
        <v>70</v>
      </c>
      <c r="C15" s="25" t="s">
        <v>18</v>
      </c>
      <c r="D15" s="25" t="s">
        <v>37</v>
      </c>
      <c r="E15" s="23">
        <v>36</v>
      </c>
      <c r="F15" s="168">
        <f t="shared" si="2"/>
        <v>12</v>
      </c>
      <c r="G15" s="173"/>
      <c r="H15" s="37" t="s">
        <v>8</v>
      </c>
      <c r="I15" s="164"/>
      <c r="J15" s="37"/>
      <c r="K15" s="33" t="s">
        <v>9</v>
      </c>
      <c r="L15" s="209" t="s">
        <v>96</v>
      </c>
      <c r="M15" s="166" t="s">
        <v>8</v>
      </c>
      <c r="N15" s="34"/>
      <c r="O15" s="37"/>
      <c r="P15" s="33" t="s">
        <v>9</v>
      </c>
      <c r="Q15" s="33"/>
      <c r="R15" s="37" t="s">
        <v>8</v>
      </c>
      <c r="S15" s="164"/>
      <c r="T15" s="166"/>
      <c r="U15" s="34" t="s">
        <v>9</v>
      </c>
      <c r="V15" s="33"/>
      <c r="W15" s="166" t="s">
        <v>8</v>
      </c>
      <c r="X15" s="174"/>
      <c r="Y15" s="33"/>
      <c r="Z15" s="33" t="s">
        <v>9</v>
      </c>
      <c r="AA15" s="34"/>
      <c r="AB15" s="166" t="s">
        <v>8</v>
      </c>
      <c r="AC15" s="37"/>
      <c r="AD15" s="33"/>
      <c r="AE15" s="33" t="s">
        <v>9</v>
      </c>
      <c r="AF15" s="172"/>
      <c r="AG15" s="37" t="s">
        <v>8</v>
      </c>
      <c r="AH15" s="201"/>
      <c r="AI15" s="5">
        <f t="shared" si="3"/>
        <v>138</v>
      </c>
    </row>
    <row r="16" spans="1:35" ht="21" customHeight="1" x14ac:dyDescent="0.25">
      <c r="A16" s="83"/>
      <c r="B16" s="52" t="s">
        <v>49</v>
      </c>
      <c r="C16" s="25" t="s">
        <v>18</v>
      </c>
      <c r="D16" s="25" t="s">
        <v>37</v>
      </c>
      <c r="E16" s="23">
        <v>36</v>
      </c>
      <c r="F16" s="168">
        <f t="shared" si="2"/>
        <v>12</v>
      </c>
      <c r="G16" s="170"/>
      <c r="H16" s="37" t="s">
        <v>8</v>
      </c>
      <c r="I16" s="164"/>
      <c r="J16" s="33"/>
      <c r="K16" s="41" t="s">
        <v>9</v>
      </c>
      <c r="L16" s="208" t="s">
        <v>96</v>
      </c>
      <c r="M16" s="166" t="s">
        <v>8</v>
      </c>
      <c r="N16" s="34"/>
      <c r="O16" s="164"/>
      <c r="P16" s="41" t="s">
        <v>9</v>
      </c>
      <c r="Q16" s="33"/>
      <c r="R16" s="37" t="s">
        <v>8</v>
      </c>
      <c r="S16" s="164"/>
      <c r="T16" s="34"/>
      <c r="U16" s="174" t="s">
        <v>9</v>
      </c>
      <c r="V16" s="33"/>
      <c r="W16" s="166" t="s">
        <v>8</v>
      </c>
      <c r="X16" s="174"/>
      <c r="Y16" s="33"/>
      <c r="Z16" s="41" t="s">
        <v>9</v>
      </c>
      <c r="AA16" s="34"/>
      <c r="AB16" s="166" t="s">
        <v>8</v>
      </c>
      <c r="AC16" s="37"/>
      <c r="AD16" s="33"/>
      <c r="AE16" s="41" t="s">
        <v>9</v>
      </c>
      <c r="AF16" s="172"/>
      <c r="AG16" s="37" t="s">
        <v>8</v>
      </c>
      <c r="AH16" s="201"/>
      <c r="AI16" s="5">
        <f t="shared" si="3"/>
        <v>138</v>
      </c>
    </row>
    <row r="17" spans="1:35" ht="21" customHeight="1" x14ac:dyDescent="0.25">
      <c r="A17" s="85">
        <v>17843</v>
      </c>
      <c r="B17" s="52" t="s">
        <v>71</v>
      </c>
      <c r="C17" s="25" t="s">
        <v>18</v>
      </c>
      <c r="D17" s="25" t="s">
        <v>37</v>
      </c>
      <c r="E17" s="23">
        <v>36</v>
      </c>
      <c r="F17" s="168">
        <f t="shared" si="2"/>
        <v>12</v>
      </c>
      <c r="G17" s="111"/>
      <c r="H17" s="37" t="s">
        <v>8</v>
      </c>
      <c r="I17" s="33"/>
      <c r="J17" s="33"/>
      <c r="K17" s="41" t="s">
        <v>9</v>
      </c>
      <c r="L17" s="209" t="s">
        <v>96</v>
      </c>
      <c r="M17" s="166" t="s">
        <v>8</v>
      </c>
      <c r="N17" s="34"/>
      <c r="O17" s="164"/>
      <c r="P17" s="41" t="s">
        <v>9</v>
      </c>
      <c r="Q17" s="33"/>
      <c r="R17" s="37" t="s">
        <v>8</v>
      </c>
      <c r="S17" s="37"/>
      <c r="T17" s="34"/>
      <c r="U17" s="174" t="s">
        <v>9</v>
      </c>
      <c r="V17" s="33"/>
      <c r="W17" s="166" t="s">
        <v>8</v>
      </c>
      <c r="X17" s="34"/>
      <c r="Y17" s="164"/>
      <c r="Z17" s="41" t="s">
        <v>9</v>
      </c>
      <c r="AA17" s="34"/>
      <c r="AB17" s="166" t="s">
        <v>8</v>
      </c>
      <c r="AC17" s="37"/>
      <c r="AD17" s="164"/>
      <c r="AE17" s="41" t="s">
        <v>9</v>
      </c>
      <c r="AF17" s="172"/>
      <c r="AG17" s="37" t="s">
        <v>8</v>
      </c>
      <c r="AH17" s="201"/>
      <c r="AI17" s="5">
        <f t="shared" si="3"/>
        <v>138</v>
      </c>
    </row>
    <row r="18" spans="1:35" ht="21" customHeight="1" x14ac:dyDescent="0.25">
      <c r="A18" s="83"/>
      <c r="B18" s="52" t="s">
        <v>23</v>
      </c>
      <c r="C18" s="25" t="s">
        <v>18</v>
      </c>
      <c r="D18" s="25" t="s">
        <v>37</v>
      </c>
      <c r="E18" s="23">
        <v>36</v>
      </c>
      <c r="F18" s="168">
        <f t="shared" si="2"/>
        <v>12</v>
      </c>
      <c r="G18" s="170"/>
      <c r="H18" s="37" t="s">
        <v>8</v>
      </c>
      <c r="I18" s="164"/>
      <c r="J18" s="33"/>
      <c r="K18" s="41" t="s">
        <v>9</v>
      </c>
      <c r="L18" s="209" t="s">
        <v>96</v>
      </c>
      <c r="M18" s="166" t="s">
        <v>8</v>
      </c>
      <c r="N18" s="34"/>
      <c r="O18" s="164"/>
      <c r="P18" s="41" t="s">
        <v>9</v>
      </c>
      <c r="Q18" s="33"/>
      <c r="R18" s="37" t="s">
        <v>8</v>
      </c>
      <c r="S18" s="164"/>
      <c r="T18" s="34"/>
      <c r="U18" s="174" t="s">
        <v>9</v>
      </c>
      <c r="V18" s="33"/>
      <c r="W18" s="166" t="s">
        <v>8</v>
      </c>
      <c r="X18" s="174"/>
      <c r="Y18" s="33"/>
      <c r="Z18" s="41" t="s">
        <v>9</v>
      </c>
      <c r="AA18" s="34"/>
      <c r="AB18" s="166" t="s">
        <v>8</v>
      </c>
      <c r="AC18" s="37"/>
      <c r="AD18" s="33"/>
      <c r="AE18" s="41" t="s">
        <v>9</v>
      </c>
      <c r="AF18" s="172"/>
      <c r="AG18" s="37" t="s">
        <v>8</v>
      </c>
      <c r="AH18" s="201"/>
      <c r="AI18" s="5">
        <f t="shared" si="3"/>
        <v>138</v>
      </c>
    </row>
    <row r="19" spans="1:35" ht="21" customHeight="1" x14ac:dyDescent="0.25">
      <c r="A19" s="85">
        <v>17867</v>
      </c>
      <c r="B19" s="52" t="s">
        <v>51</v>
      </c>
      <c r="C19" s="25" t="s">
        <v>18</v>
      </c>
      <c r="D19" s="25" t="s">
        <v>37</v>
      </c>
      <c r="E19" s="23">
        <v>36</v>
      </c>
      <c r="F19" s="192">
        <f t="shared" si="2"/>
        <v>12</v>
      </c>
      <c r="G19" s="170"/>
      <c r="H19" s="6"/>
      <c r="I19" s="164" t="s">
        <v>9</v>
      </c>
      <c r="J19" s="164"/>
      <c r="K19" s="37" t="s">
        <v>8</v>
      </c>
      <c r="L19" s="208" t="s">
        <v>96</v>
      </c>
      <c r="M19" s="34"/>
      <c r="N19" s="174" t="s">
        <v>9</v>
      </c>
      <c r="O19" s="164"/>
      <c r="P19" s="41" t="s">
        <v>9</v>
      </c>
      <c r="Q19" s="164"/>
      <c r="R19" s="33"/>
      <c r="S19" s="164" t="s">
        <v>9</v>
      </c>
      <c r="T19" s="174"/>
      <c r="U19" s="174" t="s">
        <v>9</v>
      </c>
      <c r="V19" s="164"/>
      <c r="W19" s="34"/>
      <c r="X19" s="174" t="s">
        <v>9</v>
      </c>
      <c r="Y19" s="164"/>
      <c r="Z19" s="37" t="s">
        <v>8</v>
      </c>
      <c r="AA19" s="174"/>
      <c r="AB19" s="34"/>
      <c r="AC19" s="164" t="s">
        <v>9</v>
      </c>
      <c r="AD19" s="164"/>
      <c r="AE19" s="37" t="s">
        <v>8</v>
      </c>
      <c r="AF19" s="37"/>
      <c r="AG19" s="33"/>
      <c r="AH19" s="199" t="s">
        <v>9</v>
      </c>
      <c r="AI19" s="5">
        <f t="shared" si="3"/>
        <v>138</v>
      </c>
    </row>
    <row r="20" spans="1:35" ht="21" customHeight="1" x14ac:dyDescent="0.25">
      <c r="A20" s="85">
        <v>17866</v>
      </c>
      <c r="B20" s="288" t="s">
        <v>118</v>
      </c>
      <c r="C20" s="25" t="s">
        <v>18</v>
      </c>
      <c r="D20" s="25" t="s">
        <v>37</v>
      </c>
      <c r="E20" s="23">
        <v>36</v>
      </c>
      <c r="F20" s="192">
        <f t="shared" si="2"/>
        <v>12</v>
      </c>
      <c r="G20" s="111"/>
      <c r="H20" s="41"/>
      <c r="I20" s="164"/>
      <c r="J20" s="164"/>
      <c r="K20" s="37"/>
      <c r="L20" s="209" t="s">
        <v>96</v>
      </c>
      <c r="M20" s="174" t="s">
        <v>9</v>
      </c>
      <c r="N20" s="174" t="s">
        <v>9</v>
      </c>
      <c r="O20" s="37"/>
      <c r="P20" s="10"/>
      <c r="Q20" s="33" t="s">
        <v>9</v>
      </c>
      <c r="R20" s="164"/>
      <c r="S20" s="164" t="s">
        <v>9</v>
      </c>
      <c r="T20" s="174"/>
      <c r="U20" s="237" t="s">
        <v>9</v>
      </c>
      <c r="V20" s="238" t="s">
        <v>9</v>
      </c>
      <c r="W20" s="174"/>
      <c r="X20" s="174"/>
      <c r="Y20" s="164" t="s">
        <v>9</v>
      </c>
      <c r="Z20" s="37"/>
      <c r="AA20" s="237" t="s">
        <v>9</v>
      </c>
      <c r="AB20" s="174"/>
      <c r="AC20" s="164"/>
      <c r="AD20" s="164" t="s">
        <v>9</v>
      </c>
      <c r="AE20" s="238" t="s">
        <v>9</v>
      </c>
      <c r="AF20" s="37"/>
      <c r="AG20" s="164" t="s">
        <v>9</v>
      </c>
      <c r="AH20" s="199"/>
      <c r="AI20" s="5">
        <f t="shared" si="3"/>
        <v>138</v>
      </c>
    </row>
    <row r="21" spans="1:35" ht="21" customHeight="1" x14ac:dyDescent="0.25">
      <c r="A21" s="83"/>
      <c r="B21" s="52" t="s">
        <v>53</v>
      </c>
      <c r="C21" s="25" t="s">
        <v>18</v>
      </c>
      <c r="D21" s="25" t="s">
        <v>37</v>
      </c>
      <c r="E21" s="23">
        <v>36</v>
      </c>
      <c r="F21" s="192">
        <f t="shared" si="2"/>
        <v>11</v>
      </c>
      <c r="G21" s="170"/>
      <c r="H21" s="6"/>
      <c r="I21" s="164" t="s">
        <v>9</v>
      </c>
      <c r="J21" s="33"/>
      <c r="K21" s="37" t="s">
        <v>8</v>
      </c>
      <c r="L21" s="209" t="s">
        <v>96</v>
      </c>
      <c r="M21" s="174"/>
      <c r="N21" s="174" t="s">
        <v>9</v>
      </c>
      <c r="O21" s="33"/>
      <c r="P21" s="37" t="s">
        <v>8</v>
      </c>
      <c r="Q21" s="33"/>
      <c r="R21" s="33"/>
      <c r="S21" s="164" t="s">
        <v>9</v>
      </c>
      <c r="T21" s="174"/>
      <c r="U21" s="166" t="s">
        <v>8</v>
      </c>
      <c r="V21" s="164"/>
      <c r="W21" s="34"/>
      <c r="X21" s="174" t="s">
        <v>9</v>
      </c>
      <c r="Y21" s="164"/>
      <c r="Z21" s="41" t="s">
        <v>9</v>
      </c>
      <c r="AA21" s="174"/>
      <c r="AB21" s="166" t="s">
        <v>8</v>
      </c>
      <c r="AC21" s="164"/>
      <c r="AD21" s="164"/>
      <c r="AE21" s="41" t="s">
        <v>9</v>
      </c>
      <c r="AF21" s="37"/>
      <c r="AG21" s="37"/>
      <c r="AH21" s="200"/>
      <c r="AI21" s="5">
        <f t="shared" si="3"/>
        <v>126</v>
      </c>
    </row>
    <row r="22" spans="1:35" ht="21" customHeight="1" x14ac:dyDescent="0.25">
      <c r="A22" s="83"/>
      <c r="B22" s="52" t="s">
        <v>55</v>
      </c>
      <c r="C22" s="25" t="s">
        <v>18</v>
      </c>
      <c r="D22" s="25" t="s">
        <v>37</v>
      </c>
      <c r="E22" s="23">
        <v>36</v>
      </c>
      <c r="F22" s="192">
        <f t="shared" si="2"/>
        <v>12</v>
      </c>
      <c r="G22" s="111"/>
      <c r="H22" s="41"/>
      <c r="I22" s="164" t="s">
        <v>9</v>
      </c>
      <c r="J22" s="33"/>
      <c r="K22" s="37" t="s">
        <v>8</v>
      </c>
      <c r="L22" s="209" t="s">
        <v>96</v>
      </c>
      <c r="M22" s="174"/>
      <c r="N22" s="174"/>
      <c r="O22" s="164"/>
      <c r="P22" s="37" t="s">
        <v>8</v>
      </c>
      <c r="Q22" s="33"/>
      <c r="R22" s="164"/>
      <c r="S22" s="164" t="s">
        <v>9</v>
      </c>
      <c r="T22" s="174"/>
      <c r="U22" s="166" t="s">
        <v>8</v>
      </c>
      <c r="V22" s="164"/>
      <c r="W22" s="174"/>
      <c r="X22" s="174" t="s">
        <v>9</v>
      </c>
      <c r="Y22" s="164"/>
      <c r="Z22" s="41" t="s">
        <v>9</v>
      </c>
      <c r="AA22" s="174"/>
      <c r="AB22" s="166" t="s">
        <v>8</v>
      </c>
      <c r="AC22" s="37"/>
      <c r="AD22" s="164"/>
      <c r="AE22" s="41" t="s">
        <v>9</v>
      </c>
      <c r="AF22" s="37"/>
      <c r="AG22" s="37" t="s">
        <v>8</v>
      </c>
      <c r="AH22" s="201" t="s">
        <v>8</v>
      </c>
      <c r="AI22" s="5">
        <f t="shared" si="3"/>
        <v>138</v>
      </c>
    </row>
    <row r="23" spans="1:35" ht="21" customHeight="1" x14ac:dyDescent="0.3">
      <c r="A23" s="86"/>
      <c r="B23" s="52" t="s">
        <v>56</v>
      </c>
      <c r="C23" s="25" t="s">
        <v>18</v>
      </c>
      <c r="D23" s="25" t="s">
        <v>37</v>
      </c>
      <c r="E23" s="23">
        <v>36</v>
      </c>
      <c r="F23" s="192">
        <f t="shared" si="2"/>
        <v>12</v>
      </c>
      <c r="G23" s="206" t="s">
        <v>9</v>
      </c>
      <c r="H23" s="41"/>
      <c r="I23" s="37" t="s">
        <v>8</v>
      </c>
      <c r="J23" s="33"/>
      <c r="K23" s="164"/>
      <c r="L23" s="164" t="s">
        <v>9</v>
      </c>
      <c r="M23" s="174"/>
      <c r="N23" s="166" t="s">
        <v>8</v>
      </c>
      <c r="O23" s="164"/>
      <c r="P23" s="164"/>
      <c r="Q23" s="164" t="s">
        <v>9</v>
      </c>
      <c r="R23" s="164"/>
      <c r="S23" s="37" t="s">
        <v>8</v>
      </c>
      <c r="T23" s="174"/>
      <c r="U23" s="174"/>
      <c r="V23" s="164" t="s">
        <v>9</v>
      </c>
      <c r="W23" s="174"/>
      <c r="X23" s="166" t="s">
        <v>8</v>
      </c>
      <c r="Y23" s="164"/>
      <c r="Z23" s="164"/>
      <c r="AA23" s="111" t="s">
        <v>9</v>
      </c>
      <c r="AB23" s="174"/>
      <c r="AC23" s="37" t="s">
        <v>8</v>
      </c>
      <c r="AD23" s="164"/>
      <c r="AE23" s="164"/>
      <c r="AF23" s="164" t="s">
        <v>9</v>
      </c>
      <c r="AG23" s="164"/>
      <c r="AH23" s="201" t="s">
        <v>8</v>
      </c>
      <c r="AI23" s="5">
        <f t="shared" si="3"/>
        <v>144</v>
      </c>
    </row>
    <row r="24" spans="1:35" ht="21" customHeight="1" x14ac:dyDescent="0.3">
      <c r="A24" s="86"/>
      <c r="B24" s="52" t="s">
        <v>57</v>
      </c>
      <c r="C24" s="25" t="s">
        <v>18</v>
      </c>
      <c r="D24" s="25" t="s">
        <v>37</v>
      </c>
      <c r="E24" s="23">
        <v>36</v>
      </c>
      <c r="F24" s="192">
        <f t="shared" si="2"/>
        <v>12</v>
      </c>
      <c r="G24" s="207" t="s">
        <v>9</v>
      </c>
      <c r="H24" s="41"/>
      <c r="I24" s="37" t="s">
        <v>8</v>
      </c>
      <c r="J24" s="164"/>
      <c r="K24" s="33"/>
      <c r="L24" s="164" t="s">
        <v>9</v>
      </c>
      <c r="M24" s="34"/>
      <c r="N24" s="166" t="s">
        <v>8</v>
      </c>
      <c r="O24" s="164"/>
      <c r="P24" s="33"/>
      <c r="Q24" s="164" t="s">
        <v>9</v>
      </c>
      <c r="R24" s="33"/>
      <c r="S24" s="37" t="s">
        <v>8</v>
      </c>
      <c r="T24" s="34"/>
      <c r="U24" s="174"/>
      <c r="V24" s="164" t="s">
        <v>9</v>
      </c>
      <c r="W24" s="174"/>
      <c r="X24" s="166" t="s">
        <v>8</v>
      </c>
      <c r="Y24" s="37"/>
      <c r="Z24" s="164"/>
      <c r="AA24" s="170" t="s">
        <v>9</v>
      </c>
      <c r="AB24" s="174"/>
      <c r="AC24" s="37" t="s">
        <v>8</v>
      </c>
      <c r="AD24" s="164"/>
      <c r="AE24" s="164"/>
      <c r="AF24" s="164" t="s">
        <v>9</v>
      </c>
      <c r="AG24" s="33"/>
      <c r="AH24" s="201" t="s">
        <v>8</v>
      </c>
      <c r="AI24" s="5">
        <f t="shared" si="3"/>
        <v>144</v>
      </c>
    </row>
    <row r="25" spans="1:35" ht="21" customHeight="1" x14ac:dyDescent="0.3">
      <c r="A25" s="86"/>
      <c r="B25" s="109" t="s">
        <v>38</v>
      </c>
      <c r="C25" s="3" t="s">
        <v>39</v>
      </c>
      <c r="D25" s="25" t="s">
        <v>37</v>
      </c>
      <c r="E25" s="3">
        <v>36</v>
      </c>
      <c r="F25" s="192">
        <f t="shared" si="2"/>
        <v>11</v>
      </c>
      <c r="G25" s="171"/>
      <c r="H25" s="29"/>
      <c r="I25" s="37" t="s">
        <v>8</v>
      </c>
      <c r="J25" s="51"/>
      <c r="K25" s="51"/>
      <c r="L25" s="164" t="s">
        <v>9</v>
      </c>
      <c r="M25" s="31"/>
      <c r="N25" s="166" t="s">
        <v>8</v>
      </c>
      <c r="O25" s="51"/>
      <c r="P25" s="51"/>
      <c r="Q25" s="164" t="s">
        <v>9</v>
      </c>
      <c r="R25" s="29"/>
      <c r="S25" s="37" t="s">
        <v>8</v>
      </c>
      <c r="T25" s="31"/>
      <c r="U25" s="31"/>
      <c r="V25" s="164" t="s">
        <v>9</v>
      </c>
      <c r="W25" s="31"/>
      <c r="X25" s="166" t="s">
        <v>8</v>
      </c>
      <c r="Y25" s="51"/>
      <c r="Z25" s="29"/>
      <c r="AA25" s="101" t="s">
        <v>9</v>
      </c>
      <c r="AB25" s="31"/>
      <c r="AC25" s="37" t="s">
        <v>8</v>
      </c>
      <c r="AD25" s="29"/>
      <c r="AE25" s="164"/>
      <c r="AF25" s="164" t="s">
        <v>9</v>
      </c>
      <c r="AG25" s="29"/>
      <c r="AH25" s="201" t="s">
        <v>8</v>
      </c>
      <c r="AI25" s="5">
        <f t="shared" si="3"/>
        <v>132</v>
      </c>
    </row>
    <row r="26" spans="1:35" ht="21" customHeight="1" x14ac:dyDescent="0.3">
      <c r="A26" s="86"/>
      <c r="B26" s="109" t="s">
        <v>72</v>
      </c>
      <c r="C26" s="3" t="s">
        <v>39</v>
      </c>
      <c r="D26" s="25" t="s">
        <v>37</v>
      </c>
      <c r="E26" s="3">
        <v>36</v>
      </c>
      <c r="F26" s="192">
        <f t="shared" si="2"/>
        <v>8</v>
      </c>
      <c r="G26" s="171" t="s">
        <v>9</v>
      </c>
      <c r="H26" s="51"/>
      <c r="I26" s="37" t="s">
        <v>8</v>
      </c>
      <c r="J26" s="51"/>
      <c r="K26" s="51"/>
      <c r="L26" s="164" t="s">
        <v>112</v>
      </c>
      <c r="M26" s="31"/>
      <c r="N26" s="166"/>
      <c r="O26" s="29"/>
      <c r="P26" s="51"/>
      <c r="Q26" s="164" t="s">
        <v>9</v>
      </c>
      <c r="R26" s="29"/>
      <c r="S26" s="37" t="s">
        <v>112</v>
      </c>
      <c r="T26" s="31"/>
      <c r="U26" s="100"/>
      <c r="V26" s="164" t="s">
        <v>9</v>
      </c>
      <c r="W26" s="31"/>
      <c r="X26" s="166"/>
      <c r="Y26" s="29"/>
      <c r="Z26" s="51"/>
      <c r="AA26" s="101" t="s">
        <v>9</v>
      </c>
      <c r="AB26" s="31"/>
      <c r="AC26" s="37" t="s">
        <v>8</v>
      </c>
      <c r="AD26" s="51"/>
      <c r="AE26" s="164"/>
      <c r="AF26" s="164" t="s">
        <v>9</v>
      </c>
      <c r="AG26" s="29"/>
      <c r="AH26" s="201" t="s">
        <v>8</v>
      </c>
      <c r="AI26" s="125">
        <f t="shared" si="3"/>
        <v>96</v>
      </c>
    </row>
    <row r="27" spans="1:35" ht="21" customHeight="1" x14ac:dyDescent="0.3">
      <c r="A27" s="26"/>
      <c r="B27" s="109" t="s">
        <v>84</v>
      </c>
      <c r="C27" s="3" t="s">
        <v>39</v>
      </c>
      <c r="D27" s="25" t="s">
        <v>37</v>
      </c>
      <c r="E27" s="3">
        <v>36</v>
      </c>
      <c r="F27" s="192">
        <f t="shared" si="2"/>
        <v>11</v>
      </c>
      <c r="G27" s="171" t="s">
        <v>9</v>
      </c>
      <c r="H27" s="51"/>
      <c r="I27" s="29"/>
      <c r="J27" s="29" t="s">
        <v>9</v>
      </c>
      <c r="K27" s="29"/>
      <c r="L27" s="51" t="s">
        <v>8</v>
      </c>
      <c r="M27" s="100"/>
      <c r="N27" s="31"/>
      <c r="O27" s="29" t="s">
        <v>9</v>
      </c>
      <c r="P27" s="29"/>
      <c r="Q27" s="51" t="s">
        <v>8</v>
      </c>
      <c r="R27" s="51"/>
      <c r="S27" s="180"/>
      <c r="T27" s="194" t="s">
        <v>9</v>
      </c>
      <c r="U27" s="31"/>
      <c r="V27" s="29"/>
      <c r="W27" s="100"/>
      <c r="X27" s="166" t="s">
        <v>8</v>
      </c>
      <c r="Y27" s="29"/>
      <c r="Z27" s="29"/>
      <c r="AA27" s="101" t="s">
        <v>9</v>
      </c>
      <c r="AB27" s="100"/>
      <c r="AC27" s="37" t="s">
        <v>8</v>
      </c>
      <c r="AD27" s="29"/>
      <c r="AE27" s="29"/>
      <c r="AF27" s="29" t="s">
        <v>9</v>
      </c>
      <c r="AG27" s="51"/>
      <c r="AH27" s="198" t="s">
        <v>8</v>
      </c>
      <c r="AI27" s="125">
        <f t="shared" si="3"/>
        <v>132</v>
      </c>
    </row>
    <row r="28" spans="1:35" ht="21" customHeight="1" x14ac:dyDescent="0.3">
      <c r="A28" s="148">
        <v>12875</v>
      </c>
      <c r="B28" s="117" t="s">
        <v>90</v>
      </c>
      <c r="C28" s="3" t="s">
        <v>39</v>
      </c>
      <c r="D28" s="25" t="s">
        <v>37</v>
      </c>
      <c r="E28" s="3">
        <v>36</v>
      </c>
      <c r="F28" s="192">
        <f t="shared" si="2"/>
        <v>11</v>
      </c>
      <c r="G28" s="204" t="s">
        <v>8</v>
      </c>
      <c r="H28" s="48"/>
      <c r="I28" s="48"/>
      <c r="J28" s="164" t="s">
        <v>9</v>
      </c>
      <c r="K28" s="48"/>
      <c r="L28" s="51" t="s">
        <v>8</v>
      </c>
      <c r="M28" s="181"/>
      <c r="N28" s="181"/>
      <c r="O28" s="193" t="s">
        <v>9</v>
      </c>
      <c r="P28" s="48"/>
      <c r="Q28" s="37" t="s">
        <v>8</v>
      </c>
      <c r="R28" s="48"/>
      <c r="S28" s="48"/>
      <c r="T28" s="195" t="s">
        <v>9</v>
      </c>
      <c r="U28" s="183"/>
      <c r="V28" s="182" t="s">
        <v>8</v>
      </c>
      <c r="W28" s="181"/>
      <c r="X28" s="181"/>
      <c r="Y28" s="164" t="s">
        <v>9</v>
      </c>
      <c r="Z28" s="182"/>
      <c r="AA28" s="166" t="s">
        <v>8</v>
      </c>
      <c r="AB28" s="181"/>
      <c r="AC28" s="48"/>
      <c r="AD28" s="164" t="s">
        <v>9</v>
      </c>
      <c r="AE28" s="182"/>
      <c r="AF28" s="37" t="s">
        <v>8</v>
      </c>
      <c r="AG28" s="48"/>
      <c r="AH28" s="202"/>
      <c r="AI28" s="125">
        <f t="shared" si="3"/>
        <v>132</v>
      </c>
    </row>
    <row r="29" spans="1:35" ht="21" customHeight="1" x14ac:dyDescent="0.3">
      <c r="A29" s="148"/>
      <c r="B29" s="117" t="s">
        <v>93</v>
      </c>
      <c r="C29" s="3" t="s">
        <v>39</v>
      </c>
      <c r="D29" s="25" t="s">
        <v>37</v>
      </c>
      <c r="E29" s="3">
        <v>36</v>
      </c>
      <c r="F29" s="192">
        <f t="shared" si="2"/>
        <v>12</v>
      </c>
      <c r="G29" s="204" t="s">
        <v>8</v>
      </c>
      <c r="H29" s="48"/>
      <c r="I29" s="48"/>
      <c r="J29" s="164" t="s">
        <v>9</v>
      </c>
      <c r="K29" s="48"/>
      <c r="L29" s="193" t="s">
        <v>9</v>
      </c>
      <c r="M29" s="181"/>
      <c r="N29" s="224" t="s">
        <v>9</v>
      </c>
      <c r="O29" s="193" t="s">
        <v>9</v>
      </c>
      <c r="P29" s="48"/>
      <c r="Q29" s="37" t="s">
        <v>8</v>
      </c>
      <c r="R29" s="48"/>
      <c r="S29" s="48"/>
      <c r="T29" s="195" t="s">
        <v>9</v>
      </c>
      <c r="U29" s="169"/>
      <c r="V29" s="182" t="s">
        <v>8</v>
      </c>
      <c r="W29" s="181"/>
      <c r="X29" s="181"/>
      <c r="Y29" s="29" t="s">
        <v>9</v>
      </c>
      <c r="Z29" s="182"/>
      <c r="AA29" s="166" t="s">
        <v>8</v>
      </c>
      <c r="AB29" s="181"/>
      <c r="AC29" s="48"/>
      <c r="AD29" s="164" t="s">
        <v>9</v>
      </c>
      <c r="AE29" s="182"/>
      <c r="AF29" s="37" t="s">
        <v>8</v>
      </c>
      <c r="AG29" s="48"/>
      <c r="AH29" s="202"/>
      <c r="AI29" s="125">
        <f t="shared" si="3"/>
        <v>144</v>
      </c>
    </row>
    <row r="30" spans="1:35" ht="21" customHeight="1" x14ac:dyDescent="0.3">
      <c r="A30" s="176"/>
      <c r="B30" s="190" t="s">
        <v>97</v>
      </c>
      <c r="C30" s="3" t="s">
        <v>39</v>
      </c>
      <c r="D30" s="25" t="s">
        <v>37</v>
      </c>
      <c r="E30" s="3">
        <v>36</v>
      </c>
      <c r="F30" s="192">
        <f t="shared" si="2"/>
        <v>12</v>
      </c>
      <c r="G30" s="34"/>
      <c r="H30" s="184" t="s">
        <v>9</v>
      </c>
      <c r="I30" s="186"/>
      <c r="J30" s="37" t="s">
        <v>8</v>
      </c>
      <c r="K30" s="186"/>
      <c r="L30" s="209" t="s">
        <v>96</v>
      </c>
      <c r="M30" s="174" t="s">
        <v>9</v>
      </c>
      <c r="N30" s="181"/>
      <c r="O30" s="37" t="s">
        <v>8</v>
      </c>
      <c r="P30" s="186"/>
      <c r="Q30" s="48"/>
      <c r="R30" s="29" t="s">
        <v>9</v>
      </c>
      <c r="S30" s="48"/>
      <c r="T30" s="196" t="s">
        <v>8</v>
      </c>
      <c r="U30" s="169"/>
      <c r="V30" s="48"/>
      <c r="W30" s="194" t="s">
        <v>9</v>
      </c>
      <c r="X30" s="169"/>
      <c r="Y30" s="29" t="s">
        <v>9</v>
      </c>
      <c r="Z30" s="48"/>
      <c r="AA30" s="166" t="s">
        <v>8</v>
      </c>
      <c r="AB30" s="187"/>
      <c r="AC30" s="48"/>
      <c r="AD30" s="164" t="s">
        <v>9</v>
      </c>
      <c r="AE30" s="182"/>
      <c r="AF30" s="37" t="s">
        <v>8</v>
      </c>
      <c r="AG30" s="186"/>
      <c r="AH30" s="202"/>
      <c r="AI30" s="177">
        <f t="shared" si="3"/>
        <v>138</v>
      </c>
    </row>
    <row r="31" spans="1:35" ht="21" customHeight="1" x14ac:dyDescent="0.3">
      <c r="A31" s="176"/>
      <c r="B31" s="225" t="s">
        <v>105</v>
      </c>
      <c r="C31" s="3" t="s">
        <v>39</v>
      </c>
      <c r="D31" s="25" t="s">
        <v>37</v>
      </c>
      <c r="E31" s="3">
        <v>36</v>
      </c>
      <c r="F31" s="192">
        <v>12</v>
      </c>
      <c r="G31" s="34"/>
      <c r="H31" s="33"/>
      <c r="I31" s="220"/>
      <c r="J31" s="33"/>
      <c r="K31" s="220"/>
      <c r="L31" s="209" t="s">
        <v>96</v>
      </c>
      <c r="M31" s="174"/>
      <c r="N31" s="181"/>
      <c r="O31" s="33" t="s">
        <v>9</v>
      </c>
      <c r="P31" s="186"/>
      <c r="Q31" s="48"/>
      <c r="R31" s="186"/>
      <c r="S31" s="186"/>
      <c r="T31" s="224" t="s">
        <v>9</v>
      </c>
      <c r="U31" s="169"/>
      <c r="V31" s="220" t="s">
        <v>9</v>
      </c>
      <c r="W31" s="169"/>
      <c r="X31" s="222" t="s">
        <v>9</v>
      </c>
      <c r="Y31" s="51" t="s">
        <v>8</v>
      </c>
      <c r="Z31" s="182"/>
      <c r="AA31" s="227" t="s">
        <v>9</v>
      </c>
      <c r="AB31" s="187" t="s">
        <v>112</v>
      </c>
      <c r="AC31" s="48"/>
      <c r="AD31" s="164" t="s">
        <v>9</v>
      </c>
      <c r="AE31" s="182"/>
      <c r="AF31" s="228" t="s">
        <v>9</v>
      </c>
      <c r="AG31" s="186"/>
      <c r="AH31" s="222" t="s">
        <v>9</v>
      </c>
      <c r="AI31" s="177">
        <v>138</v>
      </c>
    </row>
    <row r="32" spans="1:35" ht="21" customHeight="1" x14ac:dyDescent="0.3">
      <c r="A32" s="176"/>
      <c r="B32" s="225" t="s">
        <v>106</v>
      </c>
      <c r="C32" s="3" t="s">
        <v>39</v>
      </c>
      <c r="D32" s="25" t="s">
        <v>37</v>
      </c>
      <c r="E32" s="3">
        <v>36</v>
      </c>
      <c r="F32" s="192">
        <v>12</v>
      </c>
      <c r="G32" s="219"/>
      <c r="H32" s="33"/>
      <c r="I32" s="33"/>
      <c r="J32" s="209" t="s">
        <v>96</v>
      </c>
      <c r="K32" s="33" t="s">
        <v>9</v>
      </c>
      <c r="L32" s="221"/>
      <c r="M32" s="174"/>
      <c r="N32" s="222" t="s">
        <v>9</v>
      </c>
      <c r="O32" s="37" t="s">
        <v>8</v>
      </c>
      <c r="P32" s="37"/>
      <c r="Q32" s="48" t="s">
        <v>9</v>
      </c>
      <c r="R32" s="186"/>
      <c r="S32" s="182" t="s">
        <v>8</v>
      </c>
      <c r="T32" s="169"/>
      <c r="U32" s="169"/>
      <c r="V32" s="220" t="s">
        <v>9</v>
      </c>
      <c r="W32" s="169"/>
      <c r="X32" s="169"/>
      <c r="Y32" s="223" t="s">
        <v>9</v>
      </c>
      <c r="Z32" s="48"/>
      <c r="AA32" s="169" t="s">
        <v>9</v>
      </c>
      <c r="AB32" s="187"/>
      <c r="AC32" s="220" t="s">
        <v>9</v>
      </c>
      <c r="AD32" s="164"/>
      <c r="AE32" s="239" t="s">
        <v>9</v>
      </c>
      <c r="AF32" s="182"/>
      <c r="AG32" s="186"/>
      <c r="AH32" s="202" t="s">
        <v>9</v>
      </c>
      <c r="AI32" s="177">
        <v>138</v>
      </c>
    </row>
    <row r="33" spans="1:35" ht="21" customHeight="1" x14ac:dyDescent="0.3">
      <c r="A33" s="176"/>
      <c r="B33" s="225" t="s">
        <v>107</v>
      </c>
      <c r="C33" s="3" t="s">
        <v>39</v>
      </c>
      <c r="D33" s="25" t="s">
        <v>37</v>
      </c>
      <c r="E33" s="3">
        <v>36</v>
      </c>
      <c r="F33" s="192">
        <v>12</v>
      </c>
      <c r="G33" s="34"/>
      <c r="H33" s="33"/>
      <c r="I33" s="33"/>
      <c r="J33" s="37"/>
      <c r="K33" s="220"/>
      <c r="L33" s="209" t="s">
        <v>96</v>
      </c>
      <c r="M33" s="174" t="s">
        <v>9</v>
      </c>
      <c r="N33" s="181"/>
      <c r="O33" s="37"/>
      <c r="P33" s="220" t="s">
        <v>9</v>
      </c>
      <c r="Q33" s="48" t="s">
        <v>9</v>
      </c>
      <c r="R33" s="186"/>
      <c r="S33" s="186"/>
      <c r="T33" s="174" t="s">
        <v>9</v>
      </c>
      <c r="U33" s="174" t="s">
        <v>9</v>
      </c>
      <c r="V33" s="186"/>
      <c r="W33" s="169"/>
      <c r="X33" s="222" t="s">
        <v>9</v>
      </c>
      <c r="Y33" s="223" t="s">
        <v>9</v>
      </c>
      <c r="Z33" s="48"/>
      <c r="AA33" s="169"/>
      <c r="AB33" s="187" t="s">
        <v>9</v>
      </c>
      <c r="AC33" s="220" t="s">
        <v>9</v>
      </c>
      <c r="AD33" s="164"/>
      <c r="AE33" s="220" t="s">
        <v>9</v>
      </c>
      <c r="AF33" s="182"/>
      <c r="AG33" s="186" t="s">
        <v>9</v>
      </c>
      <c r="AH33" s="202"/>
      <c r="AI33" s="177">
        <v>138</v>
      </c>
    </row>
    <row r="34" spans="1:35" ht="21" customHeight="1" x14ac:dyDescent="0.3">
      <c r="A34" s="176"/>
      <c r="B34" s="225" t="s">
        <v>127</v>
      </c>
      <c r="C34" s="3" t="s">
        <v>39</v>
      </c>
      <c r="D34" s="25" t="s">
        <v>128</v>
      </c>
      <c r="E34" s="3">
        <v>36</v>
      </c>
      <c r="F34" s="192">
        <v>12</v>
      </c>
      <c r="G34" s="227"/>
      <c r="H34" s="228"/>
      <c r="I34" s="228"/>
      <c r="J34" s="37"/>
      <c r="K34" s="220"/>
      <c r="L34" s="272"/>
      <c r="M34" s="174"/>
      <c r="N34" s="222"/>
      <c r="O34" s="37"/>
      <c r="P34" s="220"/>
      <c r="Q34" s="273"/>
      <c r="R34" s="186"/>
      <c r="S34" s="220"/>
      <c r="T34" s="174" t="s">
        <v>9</v>
      </c>
      <c r="U34" s="274"/>
      <c r="V34" s="220" t="s">
        <v>9</v>
      </c>
      <c r="W34" s="169" t="s">
        <v>9</v>
      </c>
      <c r="X34" s="222" t="s">
        <v>9</v>
      </c>
      <c r="Y34" s="223"/>
      <c r="Z34" s="273" t="s">
        <v>9</v>
      </c>
      <c r="AA34" s="275" t="s">
        <v>9</v>
      </c>
      <c r="AB34" s="187" t="s">
        <v>9</v>
      </c>
      <c r="AC34" s="220"/>
      <c r="AD34" s="164" t="s">
        <v>9</v>
      </c>
      <c r="AE34" s="220" t="s">
        <v>9</v>
      </c>
      <c r="AF34" s="283" t="s">
        <v>9</v>
      </c>
      <c r="AG34" s="284" t="s">
        <v>96</v>
      </c>
      <c r="AH34" s="222" t="s">
        <v>9</v>
      </c>
      <c r="AI34" s="177">
        <v>138</v>
      </c>
    </row>
    <row r="35" spans="1:35" ht="21" customHeight="1" x14ac:dyDescent="0.3">
      <c r="A35" s="176"/>
      <c r="B35" s="225" t="s">
        <v>124</v>
      </c>
      <c r="C35" s="3" t="s">
        <v>18</v>
      </c>
      <c r="D35" s="25" t="s">
        <v>37</v>
      </c>
      <c r="E35" s="3">
        <v>36</v>
      </c>
      <c r="F35" s="192">
        <v>12</v>
      </c>
      <c r="G35" s="227"/>
      <c r="H35" s="228"/>
      <c r="I35" s="228"/>
      <c r="J35" s="37"/>
      <c r="K35" s="220"/>
      <c r="L35" s="272"/>
      <c r="M35" s="174"/>
      <c r="N35" s="222"/>
      <c r="O35" s="37"/>
      <c r="P35" s="220"/>
      <c r="Q35" s="273"/>
      <c r="R35" s="186" t="s">
        <v>9</v>
      </c>
      <c r="S35" s="220" t="s">
        <v>88</v>
      </c>
      <c r="T35" s="174" t="s">
        <v>9</v>
      </c>
      <c r="U35" s="274"/>
      <c r="V35" s="220" t="s">
        <v>9</v>
      </c>
      <c r="W35" s="169"/>
      <c r="X35" s="222" t="s">
        <v>9</v>
      </c>
      <c r="Y35" s="223" t="s">
        <v>9</v>
      </c>
      <c r="Z35" s="273" t="s">
        <v>9</v>
      </c>
      <c r="AA35" s="275"/>
      <c r="AB35" s="187" t="s">
        <v>9</v>
      </c>
      <c r="AC35" s="220"/>
      <c r="AD35" s="164" t="s">
        <v>9</v>
      </c>
      <c r="AE35" s="220" t="s">
        <v>9</v>
      </c>
      <c r="AF35" s="276" t="s">
        <v>9</v>
      </c>
      <c r="AG35" s="186"/>
      <c r="AH35" s="222" t="s">
        <v>9</v>
      </c>
      <c r="AI35" s="177">
        <v>138</v>
      </c>
    </row>
    <row r="36" spans="1:35" ht="21" customHeight="1" x14ac:dyDescent="0.3">
      <c r="A36" s="28"/>
      <c r="B36" s="191" t="s">
        <v>98</v>
      </c>
      <c r="C36" s="3" t="s">
        <v>39</v>
      </c>
      <c r="D36" s="25" t="s">
        <v>37</v>
      </c>
      <c r="E36" s="3">
        <v>36</v>
      </c>
      <c r="F36" s="192">
        <f t="shared" si="2"/>
        <v>12</v>
      </c>
      <c r="G36" s="205"/>
      <c r="H36" s="185" t="s">
        <v>9</v>
      </c>
      <c r="I36" s="188"/>
      <c r="J36" s="37" t="s">
        <v>8</v>
      </c>
      <c r="K36" s="188"/>
      <c r="L36" s="210" t="s">
        <v>96</v>
      </c>
      <c r="M36" s="174" t="s">
        <v>9</v>
      </c>
      <c r="N36" s="189"/>
      <c r="O36" s="37" t="s">
        <v>8</v>
      </c>
      <c r="P36" s="188"/>
      <c r="Q36" s="188"/>
      <c r="R36" s="193" t="s">
        <v>9</v>
      </c>
      <c r="S36" s="188"/>
      <c r="T36" s="197" t="s">
        <v>8</v>
      </c>
      <c r="U36" s="189"/>
      <c r="V36" s="188"/>
      <c r="W36" s="195" t="s">
        <v>9</v>
      </c>
      <c r="X36" s="189"/>
      <c r="Y36" s="37" t="s">
        <v>8</v>
      </c>
      <c r="Z36" s="188"/>
      <c r="AA36" s="189"/>
      <c r="AB36" s="195" t="s">
        <v>9</v>
      </c>
      <c r="AC36" s="188"/>
      <c r="AD36" s="37" t="s">
        <v>8</v>
      </c>
      <c r="AE36" s="188"/>
      <c r="AF36" s="188"/>
      <c r="AG36" s="164" t="s">
        <v>9</v>
      </c>
      <c r="AH36" s="203"/>
      <c r="AI36" s="177">
        <f t="shared" si="3"/>
        <v>138</v>
      </c>
    </row>
    <row r="37" spans="1:35" ht="68.25" customHeight="1" x14ac:dyDescent="0.25">
      <c r="A37" s="598" t="s">
        <v>1</v>
      </c>
      <c r="B37" s="554"/>
      <c r="C37" s="554"/>
      <c r="D37" s="554"/>
      <c r="E37" s="554"/>
      <c r="F37" s="554"/>
      <c r="G37" s="554"/>
      <c r="H37" s="554"/>
      <c r="I37" s="554"/>
      <c r="J37" s="554"/>
      <c r="K37" s="554"/>
      <c r="L37" s="554"/>
      <c r="M37" s="555"/>
      <c r="N37" s="591" t="s">
        <v>60</v>
      </c>
      <c r="O37" s="592"/>
      <c r="P37" s="592"/>
      <c r="Q37" s="592"/>
      <c r="R37" s="592"/>
      <c r="S37" s="592"/>
      <c r="T37" s="592"/>
      <c r="U37" s="592"/>
      <c r="V37" s="592"/>
      <c r="W37" s="592"/>
      <c r="X37" s="593"/>
      <c r="Y37" s="178" t="s">
        <v>61</v>
      </c>
      <c r="Z37" s="592" t="s">
        <v>62</v>
      </c>
      <c r="AA37" s="592"/>
      <c r="AB37" s="592"/>
      <c r="AC37" s="592"/>
      <c r="AD37" s="592"/>
      <c r="AE37" s="592"/>
      <c r="AF37" s="592"/>
      <c r="AG37" s="592"/>
      <c r="AH37" s="592"/>
      <c r="AI37" s="179"/>
    </row>
    <row r="38" spans="1:35" ht="39.75" customHeight="1" x14ac:dyDescent="0.25">
      <c r="B38" s="588" t="s">
        <v>0</v>
      </c>
      <c r="G38" s="590" t="s">
        <v>99</v>
      </c>
      <c r="H38" s="590"/>
      <c r="I38" s="590"/>
      <c r="J38" s="590"/>
      <c r="K38" s="590"/>
      <c r="L38" s="590"/>
      <c r="M38" s="590"/>
      <c r="N38" s="590"/>
      <c r="O38" s="590"/>
      <c r="P38" s="590"/>
      <c r="Q38" s="590"/>
      <c r="R38" s="590"/>
      <c r="S38" s="590"/>
      <c r="T38" s="590"/>
      <c r="U38" s="590"/>
      <c r="V38" s="590"/>
      <c r="W38" s="590"/>
      <c r="X38" s="590"/>
      <c r="Y38" s="590"/>
      <c r="Z38" s="590"/>
      <c r="AA38" s="590"/>
      <c r="AB38" s="590"/>
      <c r="AC38" s="590"/>
      <c r="AD38" s="590"/>
      <c r="AE38" s="590"/>
      <c r="AF38" s="590"/>
      <c r="AG38" s="590"/>
      <c r="AH38" s="590"/>
    </row>
    <row r="39" spans="1:35" x14ac:dyDescent="0.25">
      <c r="B39" s="589"/>
    </row>
    <row r="40" spans="1:35" ht="24" customHeight="1" x14ac:dyDescent="0.25">
      <c r="B40" s="554"/>
    </row>
  </sheetData>
  <mergeCells count="11">
    <mergeCell ref="B38:B40"/>
    <mergeCell ref="G38:AH38"/>
    <mergeCell ref="N37:X37"/>
    <mergeCell ref="Z37:AH37"/>
    <mergeCell ref="A1:B1"/>
    <mergeCell ref="C1:AG1"/>
    <mergeCell ref="AH1:AI1"/>
    <mergeCell ref="A2:A3"/>
    <mergeCell ref="B2:E3"/>
    <mergeCell ref="G2:AI2"/>
    <mergeCell ref="A37:M37"/>
  </mergeCells>
  <phoneticPr fontId="45" type="noConversion"/>
  <pageMargins left="0.25" right="0.25" top="0.75" bottom="0.75" header="0.3" footer="0.3"/>
  <pageSetup paperSize="9" scale="5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3D70-079F-49A4-930E-DF6D4F904ABF}">
  <dimension ref="A1:AN46"/>
  <sheetViews>
    <sheetView topLeftCell="A19" zoomScale="83" zoomScaleNormal="83" workbookViewId="0">
      <selection activeCell="X30" sqref="X30"/>
    </sheetView>
  </sheetViews>
  <sheetFormatPr defaultRowHeight="13.2" x14ac:dyDescent="0.25"/>
  <cols>
    <col min="1" max="2" width="11.109375" customWidth="1"/>
    <col min="3" max="3" width="27" customWidth="1"/>
    <col min="4" max="4" width="13.6640625" customWidth="1"/>
    <col min="5" max="5" width="6.6640625" style="77" customWidth="1"/>
    <col min="6" max="6" width="3.77734375" style="79" customWidth="1"/>
    <col min="7" max="7" width="6" bestFit="1" customWidth="1"/>
    <col min="8" max="8" width="5.109375" bestFit="1" customWidth="1"/>
    <col min="9" max="10" width="4.44140625" bestFit="1" customWidth="1"/>
    <col min="11" max="11" width="4.109375" bestFit="1" customWidth="1"/>
    <col min="12" max="12" width="3.77734375" bestFit="1" customWidth="1"/>
    <col min="13" max="13" width="4.109375" bestFit="1" customWidth="1"/>
    <col min="14" max="14" width="4.6640625" bestFit="1" customWidth="1"/>
    <col min="15" max="15" width="5.109375" bestFit="1" customWidth="1"/>
    <col min="16" max="16" width="4.44140625" bestFit="1" customWidth="1"/>
    <col min="17" max="21" width="4.77734375" bestFit="1" customWidth="1"/>
    <col min="22" max="22" width="5.109375" bestFit="1" customWidth="1"/>
    <col min="23" max="28" width="4.77734375" bestFit="1" customWidth="1"/>
    <col min="29" max="29" width="5.109375" bestFit="1" customWidth="1"/>
    <col min="30" max="34" width="4.77734375" bestFit="1" customWidth="1"/>
    <col min="35" max="37" width="4.77734375" customWidth="1"/>
    <col min="38" max="38" width="4.77734375" bestFit="1" customWidth="1"/>
    <col min="39" max="39" width="10.6640625" customWidth="1"/>
  </cols>
  <sheetData>
    <row r="1" spans="1:40" ht="47.25" customHeight="1" x14ac:dyDescent="0.25">
      <c r="A1" s="67"/>
      <c r="B1" s="67"/>
      <c r="C1" s="67"/>
      <c r="D1" s="583" t="s">
        <v>69</v>
      </c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5"/>
      <c r="AI1" s="229"/>
      <c r="AJ1" s="229"/>
      <c r="AK1" s="229"/>
      <c r="AL1" s="586" t="s">
        <v>113</v>
      </c>
      <c r="AM1" s="587"/>
    </row>
    <row r="2" spans="1:40" ht="12" customHeight="1" x14ac:dyDescent="0.2">
      <c r="A2" s="565" t="s">
        <v>12</v>
      </c>
      <c r="B2" s="252"/>
      <c r="C2" s="567" t="s">
        <v>13</v>
      </c>
      <c r="D2" s="568"/>
      <c r="E2" s="568"/>
      <c r="F2" s="569"/>
      <c r="G2" s="68"/>
      <c r="H2" s="573"/>
      <c r="I2" s="574"/>
      <c r="J2" s="574"/>
      <c r="K2" s="575"/>
      <c r="L2" s="573"/>
      <c r="M2" s="574"/>
      <c r="N2" s="574"/>
      <c r="O2" s="574"/>
      <c r="P2" s="575"/>
      <c r="Q2" s="579" t="s">
        <v>100</v>
      </c>
      <c r="R2" s="580"/>
      <c r="S2" s="580"/>
      <c r="T2" s="580"/>
      <c r="U2" s="580"/>
      <c r="V2" s="580"/>
      <c r="W2" s="580"/>
      <c r="X2" s="580"/>
      <c r="Y2" s="580"/>
      <c r="Z2" s="580"/>
      <c r="AA2" s="580"/>
      <c r="AB2" s="580"/>
      <c r="AC2" s="580"/>
      <c r="AD2" s="580"/>
      <c r="AE2" s="580"/>
      <c r="AF2" s="580"/>
      <c r="AG2" s="580"/>
      <c r="AH2" s="580"/>
      <c r="AI2" s="580"/>
      <c r="AJ2" s="580"/>
      <c r="AK2" s="580"/>
      <c r="AL2" s="580"/>
      <c r="AM2" s="68"/>
    </row>
    <row r="3" spans="1:40" ht="0.75" customHeight="1" x14ac:dyDescent="0.2">
      <c r="A3" s="566"/>
      <c r="B3" s="253"/>
      <c r="C3" s="570"/>
      <c r="D3" s="571"/>
      <c r="E3" s="571"/>
      <c r="F3" s="572"/>
      <c r="G3" s="68"/>
      <c r="H3" s="81" t="str">
        <f t="shared" ref="H3:AL3" si="0">UPPER(TEXT(H5,"DDD"))</f>
        <v>DOM</v>
      </c>
      <c r="I3" s="81" t="str">
        <f t="shared" si="0"/>
        <v>SEG</v>
      </c>
      <c r="J3" s="81" t="str">
        <f t="shared" si="0"/>
        <v>TER</v>
      </c>
      <c r="K3" s="81" t="str">
        <f t="shared" si="0"/>
        <v>QUA</v>
      </c>
      <c r="L3" s="81" t="str">
        <f t="shared" si="0"/>
        <v>QUI</v>
      </c>
      <c r="M3" s="81" t="str">
        <f t="shared" si="0"/>
        <v>SEX</v>
      </c>
      <c r="N3" s="81" t="str">
        <f t="shared" si="0"/>
        <v>SÁB</v>
      </c>
      <c r="O3" s="81" t="str">
        <f t="shared" si="0"/>
        <v>DOM</v>
      </c>
      <c r="P3" s="81" t="str">
        <f t="shared" si="0"/>
        <v>SEG</v>
      </c>
      <c r="Q3" s="81" t="str">
        <f t="shared" si="0"/>
        <v>TER</v>
      </c>
      <c r="R3" s="81" t="str">
        <f t="shared" si="0"/>
        <v>QUA</v>
      </c>
      <c r="S3" s="81" t="str">
        <f t="shared" si="0"/>
        <v>QUI</v>
      </c>
      <c r="T3" s="81" t="str">
        <f t="shared" si="0"/>
        <v>SEX</v>
      </c>
      <c r="U3" s="81" t="str">
        <f t="shared" si="0"/>
        <v>SÁB</v>
      </c>
      <c r="V3" s="81" t="str">
        <f t="shared" si="0"/>
        <v>DOM</v>
      </c>
      <c r="W3" s="81" t="str">
        <f t="shared" si="0"/>
        <v>SEG</v>
      </c>
      <c r="X3" s="81" t="str">
        <f t="shared" si="0"/>
        <v>TER</v>
      </c>
      <c r="Y3" s="81" t="str">
        <f t="shared" si="0"/>
        <v>QUA</v>
      </c>
      <c r="Z3" s="81" t="str">
        <f t="shared" si="0"/>
        <v>QUI</v>
      </c>
      <c r="AA3" s="81" t="str">
        <f t="shared" si="0"/>
        <v>SEX</v>
      </c>
      <c r="AB3" s="81" t="str">
        <f t="shared" si="0"/>
        <v>SÁB</v>
      </c>
      <c r="AC3" s="81" t="str">
        <f t="shared" si="0"/>
        <v>DOM</v>
      </c>
      <c r="AD3" s="81" t="str">
        <f t="shared" si="0"/>
        <v>SEG</v>
      </c>
      <c r="AE3" s="81" t="str">
        <f t="shared" si="0"/>
        <v>TER</v>
      </c>
      <c r="AF3" s="81" t="str">
        <f t="shared" si="0"/>
        <v>QUA</v>
      </c>
      <c r="AG3" s="81" t="str">
        <f t="shared" si="0"/>
        <v>QUI</v>
      </c>
      <c r="AH3" s="81" t="str">
        <f t="shared" si="0"/>
        <v>SEX</v>
      </c>
      <c r="AI3" s="81"/>
      <c r="AJ3" s="81"/>
      <c r="AK3" s="81"/>
      <c r="AL3" s="81" t="str">
        <f t="shared" si="0"/>
        <v>TER</v>
      </c>
      <c r="AM3" s="69" t="s">
        <v>16</v>
      </c>
    </row>
    <row r="4" spans="1:40" ht="12" customHeight="1" x14ac:dyDescent="0.2">
      <c r="A4" s="66"/>
      <c r="B4" s="66"/>
      <c r="C4" s="69"/>
      <c r="D4" s="69"/>
      <c r="E4" s="69"/>
      <c r="F4" s="69"/>
      <c r="G4" s="68"/>
      <c r="H4" s="81" t="str">
        <f t="shared" ref="H4:AH4" si="1">UPPER(TEXT(H5,"DDD"))</f>
        <v>DOM</v>
      </c>
      <c r="I4" s="81" t="str">
        <f t="shared" si="1"/>
        <v>SEG</v>
      </c>
      <c r="J4" s="81" t="str">
        <f t="shared" si="1"/>
        <v>TER</v>
      </c>
      <c r="K4" s="93" t="str">
        <f t="shared" si="1"/>
        <v>QUA</v>
      </c>
      <c r="L4" s="81" t="str">
        <f t="shared" si="1"/>
        <v>QUI</v>
      </c>
      <c r="M4" s="81" t="str">
        <f t="shared" si="1"/>
        <v>SEX</v>
      </c>
      <c r="N4" s="81" t="str">
        <f t="shared" si="1"/>
        <v>SÁB</v>
      </c>
      <c r="O4" s="81" t="str">
        <f t="shared" si="1"/>
        <v>DOM</v>
      </c>
      <c r="P4" s="81" t="str">
        <f t="shared" si="1"/>
        <v>SEG</v>
      </c>
      <c r="Q4" s="81" t="str">
        <f t="shared" si="1"/>
        <v>TER</v>
      </c>
      <c r="R4" s="81" t="str">
        <f t="shared" si="1"/>
        <v>QUA</v>
      </c>
      <c r="S4" s="81" t="str">
        <f t="shared" si="1"/>
        <v>QUI</v>
      </c>
      <c r="T4" s="81" t="str">
        <f t="shared" si="1"/>
        <v>SEX</v>
      </c>
      <c r="U4" s="81" t="str">
        <f t="shared" si="1"/>
        <v>SÁB</v>
      </c>
      <c r="V4" s="81" t="str">
        <f t="shared" si="1"/>
        <v>DOM</v>
      </c>
      <c r="W4" s="81" t="str">
        <f t="shared" si="1"/>
        <v>SEG</v>
      </c>
      <c r="X4" s="81" t="str">
        <f t="shared" si="1"/>
        <v>TER</v>
      </c>
      <c r="Y4" s="81" t="str">
        <f t="shared" si="1"/>
        <v>QUA</v>
      </c>
      <c r="Z4" s="81" t="str">
        <f t="shared" si="1"/>
        <v>QUI</v>
      </c>
      <c r="AA4" s="81" t="str">
        <f t="shared" si="1"/>
        <v>SEX</v>
      </c>
      <c r="AB4" s="81" t="str">
        <f t="shared" si="1"/>
        <v>SÁB</v>
      </c>
      <c r="AC4" s="81" t="str">
        <f t="shared" si="1"/>
        <v>DOM</v>
      </c>
      <c r="AD4" s="81" t="str">
        <f t="shared" si="1"/>
        <v>SEG</v>
      </c>
      <c r="AE4" s="81" t="str">
        <f t="shared" si="1"/>
        <v>TER</v>
      </c>
      <c r="AF4" s="81" t="str">
        <f t="shared" si="1"/>
        <v>QUA</v>
      </c>
      <c r="AG4" s="81" t="str">
        <f t="shared" si="1"/>
        <v>QUI</v>
      </c>
      <c r="AH4" s="81" t="str">
        <f t="shared" si="1"/>
        <v>SEX</v>
      </c>
      <c r="AI4" s="81" t="s">
        <v>114</v>
      </c>
      <c r="AJ4" s="81" t="s">
        <v>115</v>
      </c>
      <c r="AK4" s="81" t="s">
        <v>116</v>
      </c>
      <c r="AL4" s="81" t="str">
        <f>UPPER(TEXT(AL5,"DDD"))</f>
        <v>TER</v>
      </c>
      <c r="AM4" s="69"/>
    </row>
    <row r="5" spans="1:40" ht="21" customHeight="1" x14ac:dyDescent="0.25">
      <c r="A5" s="75" t="s">
        <v>17</v>
      </c>
      <c r="B5" s="75" t="s">
        <v>120</v>
      </c>
      <c r="C5" s="65" t="s">
        <v>32</v>
      </c>
      <c r="D5" s="70" t="s">
        <v>4</v>
      </c>
      <c r="E5" s="74" t="s">
        <v>5</v>
      </c>
      <c r="F5" s="75" t="s">
        <v>6</v>
      </c>
      <c r="G5" s="80" t="s">
        <v>78</v>
      </c>
      <c r="H5" s="82">
        <v>46082</v>
      </c>
      <c r="I5" s="82">
        <f>H5+1</f>
        <v>46083</v>
      </c>
      <c r="J5" s="82">
        <f t="shared" ref="J5:AH5" si="2">I5+1</f>
        <v>46084</v>
      </c>
      <c r="K5" s="82">
        <f t="shared" si="2"/>
        <v>46085</v>
      </c>
      <c r="L5" s="82">
        <f t="shared" si="2"/>
        <v>46086</v>
      </c>
      <c r="M5" s="82">
        <f t="shared" si="2"/>
        <v>46087</v>
      </c>
      <c r="N5" s="82">
        <f t="shared" si="2"/>
        <v>46088</v>
      </c>
      <c r="O5" s="82">
        <f t="shared" si="2"/>
        <v>46089</v>
      </c>
      <c r="P5" s="82">
        <f t="shared" si="2"/>
        <v>46090</v>
      </c>
      <c r="Q5" s="82">
        <f t="shared" si="2"/>
        <v>46091</v>
      </c>
      <c r="R5" s="82">
        <f t="shared" si="2"/>
        <v>46092</v>
      </c>
      <c r="S5" s="82">
        <f t="shared" si="2"/>
        <v>46093</v>
      </c>
      <c r="T5" s="82">
        <f t="shared" si="2"/>
        <v>46094</v>
      </c>
      <c r="U5" s="82">
        <f t="shared" si="2"/>
        <v>46095</v>
      </c>
      <c r="V5" s="82">
        <f t="shared" si="2"/>
        <v>46096</v>
      </c>
      <c r="W5" s="82">
        <f t="shared" si="2"/>
        <v>46097</v>
      </c>
      <c r="X5" s="82">
        <f t="shared" si="2"/>
        <v>46098</v>
      </c>
      <c r="Y5" s="82">
        <f t="shared" si="2"/>
        <v>46099</v>
      </c>
      <c r="Z5" s="82">
        <f t="shared" si="2"/>
        <v>46100</v>
      </c>
      <c r="AA5" s="82">
        <f t="shared" si="2"/>
        <v>46101</v>
      </c>
      <c r="AB5" s="82">
        <f t="shared" si="2"/>
        <v>46102</v>
      </c>
      <c r="AC5" s="82">
        <f t="shared" si="2"/>
        <v>46103</v>
      </c>
      <c r="AD5" s="82">
        <f t="shared" si="2"/>
        <v>46104</v>
      </c>
      <c r="AE5" s="82">
        <f t="shared" si="2"/>
        <v>46105</v>
      </c>
      <c r="AF5" s="82">
        <f t="shared" si="2"/>
        <v>46106</v>
      </c>
      <c r="AG5" s="82">
        <f t="shared" si="2"/>
        <v>46107</v>
      </c>
      <c r="AH5" s="82">
        <f t="shared" si="2"/>
        <v>46108</v>
      </c>
      <c r="AI5" s="82">
        <v>46081</v>
      </c>
      <c r="AJ5" s="82">
        <v>46110</v>
      </c>
      <c r="AK5" s="82">
        <v>46111</v>
      </c>
      <c r="AL5" s="82">
        <v>46112</v>
      </c>
      <c r="AM5" s="71" t="s">
        <v>2</v>
      </c>
    </row>
    <row r="6" spans="1:40" ht="18" customHeight="1" x14ac:dyDescent="0.3">
      <c r="A6" s="72">
        <v>1191</v>
      </c>
      <c r="B6" s="72"/>
      <c r="C6" s="155" t="s">
        <v>67</v>
      </c>
      <c r="D6" s="76" t="s">
        <v>18</v>
      </c>
      <c r="E6" s="76" t="s">
        <v>19</v>
      </c>
      <c r="F6" s="78">
        <v>36</v>
      </c>
      <c r="G6" s="91">
        <f t="array" ref="G6">SUMPRODUCT((H6:AL6="SD")+(H6:AL6="SN")+(H6:AL6="MT")+(H6:AL6="8H")+(H6:AL6="N")+(H6:AL6="M")+(H6:AL6="T")+(H6:AL6="AE")+(H6:AL6="AB")+(H6:AL6="AA")+(H6:AL6="FC"))</f>
        <v>13</v>
      </c>
      <c r="H6" s="102"/>
      <c r="I6" s="57" t="s">
        <v>9</v>
      </c>
      <c r="J6" s="108"/>
      <c r="K6" s="149" t="s">
        <v>8</v>
      </c>
      <c r="L6" s="108"/>
      <c r="M6" s="108"/>
      <c r="N6" s="102" t="s">
        <v>9</v>
      </c>
      <c r="O6" s="103"/>
      <c r="P6" s="149" t="s">
        <v>8</v>
      </c>
      <c r="Q6" s="108"/>
      <c r="R6" s="107"/>
      <c r="S6" s="108" t="s">
        <v>9</v>
      </c>
      <c r="T6" s="108"/>
      <c r="U6" s="104" t="s">
        <v>8</v>
      </c>
      <c r="V6" s="103"/>
      <c r="W6" s="107"/>
      <c r="X6" s="107" t="s">
        <v>9</v>
      </c>
      <c r="Y6" s="108"/>
      <c r="Z6" s="149" t="s">
        <v>8</v>
      </c>
      <c r="AA6" s="108"/>
      <c r="AB6" s="102"/>
      <c r="AC6" s="102" t="s">
        <v>9</v>
      </c>
      <c r="AD6" s="108"/>
      <c r="AE6" s="149" t="s">
        <v>8</v>
      </c>
      <c r="AF6" s="107"/>
      <c r="AG6" s="56"/>
      <c r="AH6" s="57" t="s">
        <v>9</v>
      </c>
      <c r="AI6" s="102"/>
      <c r="AJ6" s="102" t="s">
        <v>9</v>
      </c>
      <c r="AK6" s="64"/>
      <c r="AL6" s="149" t="s">
        <v>8</v>
      </c>
      <c r="AM6" s="211">
        <f t="shared" ref="AM6:AM25" si="3">SUMPRODUCT((H6:AL6="SD")*12 + (H6:AL6="SN")*12 + (H6:AL6="MT")*8 + (H6:AL6="M")*6 + (H6:AL6="T")*6)</f>
        <v>156</v>
      </c>
      <c r="AN6" s="235"/>
    </row>
    <row r="7" spans="1:40" ht="18" customHeight="1" x14ac:dyDescent="0.2">
      <c r="A7" s="73">
        <v>17186</v>
      </c>
      <c r="B7" s="73">
        <v>942270</v>
      </c>
      <c r="C7" s="63" t="s">
        <v>33</v>
      </c>
      <c r="D7" s="76" t="s">
        <v>18</v>
      </c>
      <c r="E7" s="76" t="s">
        <v>19</v>
      </c>
      <c r="F7" s="78">
        <v>36</v>
      </c>
      <c r="G7" s="91">
        <f t="array" ref="G7">SUMPRODUCT((H7:AL7="SD")+(H7:AL7="SN")+(H7:AL7="MT")+(H7:AL7="8H")+(H7:AL7="N")+(H7:AL7="M")+(H7:AL7="T")+(H7:AL7="AE")+(H7:AL7="AB")+(H7:AL7="AA")+(H7:AL7="FC"))</f>
        <v>13</v>
      </c>
      <c r="H7" s="102"/>
      <c r="I7" s="56" t="s">
        <v>9</v>
      </c>
      <c r="J7" s="107"/>
      <c r="K7" s="149" t="s">
        <v>8</v>
      </c>
      <c r="L7" s="149"/>
      <c r="M7" s="108"/>
      <c r="N7" s="102" t="s">
        <v>9</v>
      </c>
      <c r="O7" s="102"/>
      <c r="P7" s="149" t="s">
        <v>8</v>
      </c>
      <c r="Q7" s="107"/>
      <c r="R7" s="107"/>
      <c r="S7" s="108" t="s">
        <v>9</v>
      </c>
      <c r="T7" s="107"/>
      <c r="U7" s="104" t="s">
        <v>8</v>
      </c>
      <c r="V7" s="102"/>
      <c r="W7" s="108"/>
      <c r="X7" s="107" t="s">
        <v>9</v>
      </c>
      <c r="Y7" s="108"/>
      <c r="Z7" s="149" t="s">
        <v>8</v>
      </c>
      <c r="AA7" s="108"/>
      <c r="AB7" s="102"/>
      <c r="AC7" s="102" t="s">
        <v>9</v>
      </c>
      <c r="AD7" s="108"/>
      <c r="AE7" s="149" t="s">
        <v>8</v>
      </c>
      <c r="AF7" s="107"/>
      <c r="AG7" s="56"/>
      <c r="AH7" s="57" t="s">
        <v>9</v>
      </c>
      <c r="AI7" s="102"/>
      <c r="AJ7" s="102" t="s">
        <v>9</v>
      </c>
      <c r="AK7" s="57"/>
      <c r="AL7" s="149" t="s">
        <v>8</v>
      </c>
      <c r="AM7" s="211">
        <f t="shared" si="3"/>
        <v>156</v>
      </c>
      <c r="AN7" s="235"/>
    </row>
    <row r="8" spans="1:40" ht="18" customHeight="1" x14ac:dyDescent="0.2">
      <c r="A8" s="73">
        <v>1124</v>
      </c>
      <c r="B8" s="73"/>
      <c r="C8" s="63" t="s">
        <v>85</v>
      </c>
      <c r="D8" s="76" t="s">
        <v>18</v>
      </c>
      <c r="E8" s="76" t="s">
        <v>19</v>
      </c>
      <c r="F8" s="78">
        <v>36</v>
      </c>
      <c r="G8" s="91">
        <f t="array" ref="G8">SUMPRODUCT((H8:AL8="SD")+(H8:AL8="SN")+(H8:AL8="MT")+(H8:AL8="8H")+(H8:AL8="N")+(H8:AL8="M")+(H8:AL8="T")+(H8:AL8="AE")+(H8:AL8="AB")+(H8:AL8="AA")+(H8:AL8="FC"))</f>
        <v>13</v>
      </c>
      <c r="H8" s="102"/>
      <c r="I8" s="56" t="s">
        <v>9</v>
      </c>
      <c r="J8" s="107"/>
      <c r="K8" s="149" t="s">
        <v>8</v>
      </c>
      <c r="L8" s="149"/>
      <c r="M8" s="108"/>
      <c r="N8" s="102" t="s">
        <v>9</v>
      </c>
      <c r="O8" s="104"/>
      <c r="P8" s="149" t="s">
        <v>8</v>
      </c>
      <c r="Q8" s="107"/>
      <c r="R8" s="107"/>
      <c r="S8" s="108" t="s">
        <v>9</v>
      </c>
      <c r="T8" s="107"/>
      <c r="U8" s="104" t="s">
        <v>8</v>
      </c>
      <c r="V8" s="102"/>
      <c r="W8" s="149"/>
      <c r="X8" s="107" t="s">
        <v>9</v>
      </c>
      <c r="Y8" s="108"/>
      <c r="Z8" s="149" t="s">
        <v>8</v>
      </c>
      <c r="AA8" s="108"/>
      <c r="AB8" s="102"/>
      <c r="AC8" s="102" t="s">
        <v>9</v>
      </c>
      <c r="AD8" s="108"/>
      <c r="AE8" s="149" t="s">
        <v>8</v>
      </c>
      <c r="AF8" s="107"/>
      <c r="AG8" s="56"/>
      <c r="AH8" s="57" t="s">
        <v>9</v>
      </c>
      <c r="AI8" s="102"/>
      <c r="AJ8" s="102" t="s">
        <v>9</v>
      </c>
      <c r="AK8" s="57"/>
      <c r="AL8" s="149" t="s">
        <v>8</v>
      </c>
      <c r="AM8" s="211">
        <f t="shared" si="3"/>
        <v>156</v>
      </c>
      <c r="AN8" s="235"/>
    </row>
    <row r="9" spans="1:40" ht="18" customHeight="1" x14ac:dyDescent="0.25">
      <c r="A9" s="72">
        <v>1119</v>
      </c>
      <c r="B9" s="72"/>
      <c r="C9" s="63" t="s">
        <v>82</v>
      </c>
      <c r="D9" s="76" t="s">
        <v>18</v>
      </c>
      <c r="E9" s="76" t="s">
        <v>19</v>
      </c>
      <c r="F9" s="78">
        <v>36</v>
      </c>
      <c r="G9" s="91">
        <f t="array" ref="G9">SUMPRODUCT((H9:AL9="SD")+(H9:AL9="SN")+(H9:AL9="MT")+(H9:AL9="8H")+(H9:AL9="N")+(H9:AL9="M")+(H9:AL9="T")+(H9:AL9="AE")+(H9:AL9="AB")+(H9:AL9="AA")+(H9:AL9="FC"))</f>
        <v>13</v>
      </c>
      <c r="H9" s="102"/>
      <c r="I9" s="56" t="s">
        <v>9</v>
      </c>
      <c r="J9" s="108"/>
      <c r="K9" s="149" t="s">
        <v>8</v>
      </c>
      <c r="L9" s="108"/>
      <c r="M9" s="108"/>
      <c r="N9" s="102" t="s">
        <v>9</v>
      </c>
      <c r="O9" s="103"/>
      <c r="P9" s="149"/>
      <c r="Q9" s="108"/>
      <c r="R9" s="107" t="s">
        <v>9</v>
      </c>
      <c r="S9" s="108" t="s">
        <v>9</v>
      </c>
      <c r="T9" s="108"/>
      <c r="U9" s="104" t="s">
        <v>8</v>
      </c>
      <c r="V9" s="103"/>
      <c r="W9" s="107"/>
      <c r="X9" s="107" t="s">
        <v>9</v>
      </c>
      <c r="Y9" s="108"/>
      <c r="Z9" s="149" t="s">
        <v>8</v>
      </c>
      <c r="AA9" s="108"/>
      <c r="AB9" s="102"/>
      <c r="AC9" s="102" t="s">
        <v>9</v>
      </c>
      <c r="AD9" s="108" t="s">
        <v>9</v>
      </c>
      <c r="AE9" s="149"/>
      <c r="AF9" s="107"/>
      <c r="AG9" s="56"/>
      <c r="AH9" s="57" t="s">
        <v>9</v>
      </c>
      <c r="AI9" s="102"/>
      <c r="AJ9" s="102" t="s">
        <v>9</v>
      </c>
      <c r="AK9" s="57"/>
      <c r="AL9" s="149" t="s">
        <v>8</v>
      </c>
      <c r="AM9" s="211">
        <f t="shared" si="3"/>
        <v>156</v>
      </c>
    </row>
    <row r="10" spans="1:40" ht="18" customHeight="1" x14ac:dyDescent="0.2">
      <c r="A10" s="73">
        <v>178</v>
      </c>
      <c r="B10" s="73">
        <v>1420472</v>
      </c>
      <c r="C10" s="289" t="s">
        <v>73</v>
      </c>
      <c r="D10" s="157" t="s">
        <v>18</v>
      </c>
      <c r="E10" s="76" t="s">
        <v>19</v>
      </c>
      <c r="F10" s="78">
        <v>36</v>
      </c>
      <c r="G10" s="91">
        <f t="array" ref="G10">SUMPRODUCT((H10:AL10="SD")+(H10:AL10="SN")+(H10:AL10="MT")+(H10:AL10="8H")+(H10:AL10="N")+(H10:AL10="M")+(H10:AL10="T")+(H10:AL10="AE")+(H10:AL10="AB")+(H10:AL10="AA")+(H10:AL10="FC"))</f>
        <v>13</v>
      </c>
      <c r="H10" s="151" t="s">
        <v>8</v>
      </c>
      <c r="I10" s="89"/>
      <c r="J10" s="108"/>
      <c r="K10" s="281" t="s">
        <v>9</v>
      </c>
      <c r="L10" s="149"/>
      <c r="M10" s="149" t="s">
        <v>8</v>
      </c>
      <c r="N10" s="104"/>
      <c r="O10" s="103"/>
      <c r="P10" s="281" t="s">
        <v>9</v>
      </c>
      <c r="Q10" s="108"/>
      <c r="R10" s="149" t="s">
        <v>8</v>
      </c>
      <c r="S10" s="108"/>
      <c r="T10" s="149"/>
      <c r="U10" s="282" t="s">
        <v>9</v>
      </c>
      <c r="V10" s="103"/>
      <c r="W10" s="149" t="s">
        <v>8</v>
      </c>
      <c r="X10" s="149"/>
      <c r="Y10" s="108"/>
      <c r="Z10" s="108" t="s">
        <v>9</v>
      </c>
      <c r="AA10" s="108"/>
      <c r="AB10" s="104" t="s">
        <v>8</v>
      </c>
      <c r="AC10" s="102"/>
      <c r="AD10" s="108"/>
      <c r="AE10" s="281" t="s">
        <v>9</v>
      </c>
      <c r="AF10" s="149"/>
      <c r="AG10" s="64" t="s">
        <v>8</v>
      </c>
      <c r="AH10" s="57"/>
      <c r="AI10" s="102"/>
      <c r="AJ10" s="282" t="s">
        <v>9</v>
      </c>
      <c r="AK10" s="57"/>
      <c r="AL10" s="149" t="s">
        <v>8</v>
      </c>
      <c r="AM10" s="211">
        <f t="shared" si="3"/>
        <v>156</v>
      </c>
    </row>
    <row r="11" spans="1:40" ht="18" customHeight="1" x14ac:dyDescent="0.2">
      <c r="A11" s="73">
        <v>11863</v>
      </c>
      <c r="B11" s="73">
        <v>1288521</v>
      </c>
      <c r="C11" s="156" t="s">
        <v>91</v>
      </c>
      <c r="D11" s="157" t="s">
        <v>18</v>
      </c>
      <c r="E11" s="76" t="s">
        <v>19</v>
      </c>
      <c r="F11" s="78">
        <v>36</v>
      </c>
      <c r="G11" s="91">
        <f t="array" ref="G11">SUMPRODUCT((H11:AL11="SD")+(H11:AL11="SN")+(H11:AL11="MT")+(H11:AL11="8H")+(H11:AL11="N")+(H11:AL11="M")+(H11:AL11="T")+(H11:AL11="AE")+(H11:AL11="AB")+(H11:AL11="AA")+(H11:AL11="FC"))</f>
        <v>13</v>
      </c>
      <c r="H11" s="105"/>
      <c r="I11" s="87" t="s">
        <v>9</v>
      </c>
      <c r="J11" s="108"/>
      <c r="K11" s="281" t="s">
        <v>9</v>
      </c>
      <c r="L11" s="108"/>
      <c r="M11" s="108"/>
      <c r="N11" s="102" t="s">
        <v>9</v>
      </c>
      <c r="O11" s="103"/>
      <c r="P11" s="149" t="s">
        <v>8</v>
      </c>
      <c r="Q11" s="108"/>
      <c r="R11" s="107"/>
      <c r="S11" s="108" t="s">
        <v>9</v>
      </c>
      <c r="T11" s="108"/>
      <c r="U11" s="104" t="s">
        <v>8</v>
      </c>
      <c r="V11" s="103"/>
      <c r="W11" s="107"/>
      <c r="X11" s="107" t="s">
        <v>9</v>
      </c>
      <c r="Y11" s="108"/>
      <c r="Z11" s="149" t="s">
        <v>8</v>
      </c>
      <c r="AA11" s="108"/>
      <c r="AB11" s="102"/>
      <c r="AC11" s="102" t="s">
        <v>9</v>
      </c>
      <c r="AD11" s="108"/>
      <c r="AE11" s="149" t="s">
        <v>8</v>
      </c>
      <c r="AF11" s="107"/>
      <c r="AG11" s="56"/>
      <c r="AH11" s="57" t="s">
        <v>9</v>
      </c>
      <c r="AI11" s="102"/>
      <c r="AJ11" s="102" t="s">
        <v>9</v>
      </c>
      <c r="AK11" s="57"/>
      <c r="AL11" s="149" t="s">
        <v>8</v>
      </c>
      <c r="AM11" s="211">
        <f t="shared" si="3"/>
        <v>156</v>
      </c>
    </row>
    <row r="12" spans="1:40" ht="13.8" x14ac:dyDescent="0.2">
      <c r="A12" s="73">
        <v>1186</v>
      </c>
      <c r="B12" s="73">
        <v>368611</v>
      </c>
      <c r="C12" s="63" t="s">
        <v>68</v>
      </c>
      <c r="D12" s="76" t="s">
        <v>18</v>
      </c>
      <c r="E12" s="76" t="s">
        <v>19</v>
      </c>
      <c r="F12" s="78">
        <v>36</v>
      </c>
      <c r="G12" s="91">
        <f t="array" ref="G12">SUMPRODUCT((H12:AL12="SD")+(H12:AL12="SN")+(H12:AL12="MT")+(H12:AL12="8H")+(H12:AL12="N")+(H12:AL12="M")+(H12:AL12="T")+(H12:AL12="AE")+(H12:AL12="AB")+(H12:AL12="AA")+(H12:AL12="FC"))</f>
        <v>13</v>
      </c>
      <c r="H12" s="102"/>
      <c r="I12" s="64" t="s">
        <v>8</v>
      </c>
      <c r="J12" s="107"/>
      <c r="K12" s="107"/>
      <c r="L12" s="57" t="s">
        <v>9</v>
      </c>
      <c r="M12" s="57"/>
      <c r="N12" s="104" t="s">
        <v>8</v>
      </c>
      <c r="O12" s="104"/>
      <c r="P12" s="57"/>
      <c r="Q12" s="108" t="s">
        <v>9</v>
      </c>
      <c r="R12" s="107"/>
      <c r="S12" s="149" t="s">
        <v>8</v>
      </c>
      <c r="T12" s="149"/>
      <c r="U12" s="102"/>
      <c r="V12" s="103" t="s">
        <v>9</v>
      </c>
      <c r="W12" s="57"/>
      <c r="X12" s="149" t="s">
        <v>8</v>
      </c>
      <c r="Y12" s="107"/>
      <c r="Z12" s="57" t="s">
        <v>9</v>
      </c>
      <c r="AA12" s="108" t="s">
        <v>9</v>
      </c>
      <c r="AB12" s="102"/>
      <c r="AC12" s="104" t="s">
        <v>8</v>
      </c>
      <c r="AD12" s="57"/>
      <c r="AE12" s="107"/>
      <c r="AF12" s="108" t="s">
        <v>9</v>
      </c>
      <c r="AG12" s="57"/>
      <c r="AH12" s="149" t="s">
        <v>8</v>
      </c>
      <c r="AI12" s="104"/>
      <c r="AJ12" s="104"/>
      <c r="AK12" s="231" t="s">
        <v>9</v>
      </c>
      <c r="AL12" s="107"/>
      <c r="AM12" s="211">
        <f t="shared" si="3"/>
        <v>156</v>
      </c>
    </row>
    <row r="13" spans="1:40" ht="18" customHeight="1" x14ac:dyDescent="0.2">
      <c r="A13" s="73">
        <v>1196</v>
      </c>
      <c r="B13" s="73">
        <v>1977595</v>
      </c>
      <c r="C13" s="63" t="s">
        <v>20</v>
      </c>
      <c r="D13" s="76" t="s">
        <v>18</v>
      </c>
      <c r="E13" s="76" t="s">
        <v>19</v>
      </c>
      <c r="F13" s="78">
        <v>36</v>
      </c>
      <c r="G13" s="91">
        <f t="array" ref="G13">SUMPRODUCT((H13:AL13="SD")+(H13:AL13="SN")+(H13:AL13="MT")+(H13:AL13="8H")+(H13:AL13="N")+(H13:AL13="M")+(H13:AL13="T")+(H13:AL13="AE")+(H13:AL13="AB")+(H13:AL13="AA")+(H13:AL13="FC"))</f>
        <v>13</v>
      </c>
      <c r="H13" s="102"/>
      <c r="I13" s="64" t="s">
        <v>8</v>
      </c>
      <c r="J13" s="107"/>
      <c r="K13" s="107"/>
      <c r="L13" s="56" t="s">
        <v>9</v>
      </c>
      <c r="M13" s="56"/>
      <c r="N13" s="104" t="s">
        <v>8</v>
      </c>
      <c r="O13" s="102"/>
      <c r="P13" s="57"/>
      <c r="Q13" s="108" t="s">
        <v>9</v>
      </c>
      <c r="R13" s="107"/>
      <c r="S13" s="149" t="s">
        <v>8</v>
      </c>
      <c r="T13" s="107"/>
      <c r="U13" s="102"/>
      <c r="V13" s="103" t="s">
        <v>9</v>
      </c>
      <c r="W13" s="57"/>
      <c r="X13" s="149" t="s">
        <v>8</v>
      </c>
      <c r="Y13" s="107"/>
      <c r="Z13" s="57"/>
      <c r="AA13" s="108" t="s">
        <v>9</v>
      </c>
      <c r="AB13" s="102"/>
      <c r="AC13" s="104" t="s">
        <v>8</v>
      </c>
      <c r="AD13" s="57"/>
      <c r="AE13" s="107"/>
      <c r="AF13" s="108" t="s">
        <v>9</v>
      </c>
      <c r="AG13" s="57"/>
      <c r="AH13" s="149" t="s">
        <v>8</v>
      </c>
      <c r="AI13" s="104"/>
      <c r="AJ13" s="103" t="s">
        <v>9</v>
      </c>
      <c r="AK13" s="231" t="s">
        <v>9</v>
      </c>
      <c r="AL13" s="107"/>
      <c r="AM13" s="211">
        <f t="shared" si="3"/>
        <v>156</v>
      </c>
    </row>
    <row r="14" spans="1:40" ht="18" customHeight="1" x14ac:dyDescent="0.2">
      <c r="A14" s="73">
        <v>1187</v>
      </c>
      <c r="B14" s="73">
        <v>877913</v>
      </c>
      <c r="C14" s="63" t="s">
        <v>21</v>
      </c>
      <c r="D14" s="76" t="s">
        <v>18</v>
      </c>
      <c r="E14" s="76" t="s">
        <v>19</v>
      </c>
      <c r="F14" s="78">
        <v>36</v>
      </c>
      <c r="G14" s="91">
        <f t="array" ref="G14">SUMPRODUCT((H14:AL14="SD")+(H14:AL14="SN")+(H14:AL14="MT")+(H14:AL14="8H")+(H14:AL14="N")+(H14:AL14="M")+(H14:AL14="T")+(H14:AL14="AE")+(H14:AL14="AB")+(H14:AL14="AA")+(H14:AL14="FC"))</f>
        <v>13</v>
      </c>
      <c r="H14" s="102"/>
      <c r="I14" s="64" t="s">
        <v>8</v>
      </c>
      <c r="J14" s="108"/>
      <c r="K14" s="107"/>
      <c r="L14" s="56" t="s">
        <v>9</v>
      </c>
      <c r="M14" s="57"/>
      <c r="N14" s="104" t="s">
        <v>8</v>
      </c>
      <c r="O14" s="102"/>
      <c r="P14" s="56"/>
      <c r="Q14" s="108" t="s">
        <v>9</v>
      </c>
      <c r="R14" s="107"/>
      <c r="S14" s="149" t="s">
        <v>8</v>
      </c>
      <c r="T14" s="108"/>
      <c r="U14" s="102"/>
      <c r="V14" s="103" t="s">
        <v>9</v>
      </c>
      <c r="W14" s="57"/>
      <c r="X14" s="149" t="s">
        <v>8</v>
      </c>
      <c r="Y14" s="107"/>
      <c r="Z14" s="56"/>
      <c r="AA14" s="108" t="s">
        <v>9</v>
      </c>
      <c r="AB14" s="102"/>
      <c r="AC14" s="104" t="s">
        <v>8</v>
      </c>
      <c r="AD14" s="57"/>
      <c r="AE14" s="108"/>
      <c r="AF14" s="108" t="s">
        <v>9</v>
      </c>
      <c r="AG14" s="57"/>
      <c r="AH14" s="149" t="s">
        <v>8</v>
      </c>
      <c r="AI14" s="104"/>
      <c r="AJ14" s="103" t="s">
        <v>9</v>
      </c>
      <c r="AK14" s="231" t="s">
        <v>9</v>
      </c>
      <c r="AL14" s="107"/>
      <c r="AM14" s="211">
        <f t="shared" si="3"/>
        <v>156</v>
      </c>
    </row>
    <row r="15" spans="1:40" ht="18" customHeight="1" x14ac:dyDescent="0.2">
      <c r="A15" s="73">
        <v>1188</v>
      </c>
      <c r="B15" s="73">
        <v>345493</v>
      </c>
      <c r="C15" s="63" t="s">
        <v>22</v>
      </c>
      <c r="D15" s="76" t="s">
        <v>18</v>
      </c>
      <c r="E15" s="76" t="s">
        <v>19</v>
      </c>
      <c r="F15" s="78">
        <v>36</v>
      </c>
      <c r="G15" s="91">
        <f t="array" ref="G15">SUMPRODUCT((H15:AL15="SD")+(H15:AL15="SN")+(H15:AL15="MT")+(H15:AL15="8H")+(H15:AL15="N")+(H15:AL15="M")+(H15:AL15="T")+(H15:AL15="AE")+(H15:AL15="AB")+(H15:AL15="AA")+(H15:AL15="FC"))</f>
        <v>13</v>
      </c>
      <c r="H15" s="102"/>
      <c r="I15" s="64" t="s">
        <v>8</v>
      </c>
      <c r="J15" s="108"/>
      <c r="K15" s="107"/>
      <c r="L15" s="56" t="s">
        <v>9</v>
      </c>
      <c r="M15" s="57"/>
      <c r="N15" s="104" t="s">
        <v>8</v>
      </c>
      <c r="O15" s="102"/>
      <c r="P15" s="57"/>
      <c r="Q15" s="108" t="s">
        <v>9</v>
      </c>
      <c r="R15" s="107"/>
      <c r="S15" s="149" t="s">
        <v>8</v>
      </c>
      <c r="T15" s="108"/>
      <c r="U15" s="104"/>
      <c r="V15" s="103" t="s">
        <v>9</v>
      </c>
      <c r="W15" s="57"/>
      <c r="X15" s="149" t="s">
        <v>8</v>
      </c>
      <c r="Y15" s="107"/>
      <c r="Z15" s="56"/>
      <c r="AA15" s="108" t="s">
        <v>9</v>
      </c>
      <c r="AB15" s="102"/>
      <c r="AC15" s="104" t="s">
        <v>8</v>
      </c>
      <c r="AD15" s="57"/>
      <c r="AE15" s="108" t="s">
        <v>9</v>
      </c>
      <c r="AF15" s="108" t="s">
        <v>9</v>
      </c>
      <c r="AG15" s="57"/>
      <c r="AH15" s="149" t="s">
        <v>8</v>
      </c>
      <c r="AI15" s="104"/>
      <c r="AJ15" s="104"/>
      <c r="AK15" s="231" t="s">
        <v>9</v>
      </c>
      <c r="AL15" s="107"/>
      <c r="AM15" s="211">
        <f t="shared" si="3"/>
        <v>156</v>
      </c>
    </row>
    <row r="16" spans="1:40" ht="18" customHeight="1" x14ac:dyDescent="0.2">
      <c r="A16" s="73">
        <v>1193</v>
      </c>
      <c r="B16" s="73">
        <v>797026</v>
      </c>
      <c r="C16" s="63" t="s">
        <v>24</v>
      </c>
      <c r="D16" s="76" t="s">
        <v>18</v>
      </c>
      <c r="E16" s="76" t="s">
        <v>19</v>
      </c>
      <c r="F16" s="78">
        <v>36</v>
      </c>
      <c r="G16" s="91">
        <f t="array" ref="G16">SUMPRODUCT((H16:AL16="SD")+(H16:AL16="SN")+(H16:AL16="MT")+(H16:AL16="8H")+(H16:AL16="N")+(H16:AL16="M")+(H16:AL16="T")+(H16:AL16="AE")+(H16:AL16="AB")+(H16:AL16="AA")+(H16:AL16="FC"))</f>
        <v>13</v>
      </c>
      <c r="H16" s="103"/>
      <c r="I16" s="64" t="s">
        <v>8</v>
      </c>
      <c r="J16" s="107"/>
      <c r="K16" s="108"/>
      <c r="L16" s="89" t="s">
        <v>9</v>
      </c>
      <c r="M16" s="56"/>
      <c r="N16" s="104" t="s">
        <v>8</v>
      </c>
      <c r="O16" s="102"/>
      <c r="P16" s="56" t="s">
        <v>9</v>
      </c>
      <c r="Q16" s="108" t="s">
        <v>9</v>
      </c>
      <c r="R16" s="149"/>
      <c r="S16" s="149" t="s">
        <v>8</v>
      </c>
      <c r="T16" s="107"/>
      <c r="U16" s="103"/>
      <c r="V16" s="103" t="s">
        <v>9</v>
      </c>
      <c r="W16" s="56"/>
      <c r="X16" s="149" t="s">
        <v>8</v>
      </c>
      <c r="Y16" s="107"/>
      <c r="Z16" s="56"/>
      <c r="AA16" s="108" t="s">
        <v>9</v>
      </c>
      <c r="AB16" s="103"/>
      <c r="AC16" s="104" t="s">
        <v>8</v>
      </c>
      <c r="AD16" s="57"/>
      <c r="AE16" s="108"/>
      <c r="AF16" s="108" t="s">
        <v>9</v>
      </c>
      <c r="AG16" s="56"/>
      <c r="AH16" s="149" t="s">
        <v>8</v>
      </c>
      <c r="AI16" s="104"/>
      <c r="AJ16" s="104"/>
      <c r="AK16" s="231" t="s">
        <v>9</v>
      </c>
      <c r="AL16" s="108"/>
      <c r="AM16" s="211">
        <f t="shared" si="3"/>
        <v>156</v>
      </c>
    </row>
    <row r="17" spans="1:39" ht="18" customHeight="1" x14ac:dyDescent="0.2">
      <c r="A17" s="73">
        <v>1198</v>
      </c>
      <c r="B17" s="73">
        <v>1867868</v>
      </c>
      <c r="C17" s="63" t="s">
        <v>25</v>
      </c>
      <c r="D17" s="76" t="s">
        <v>18</v>
      </c>
      <c r="E17" s="76" t="s">
        <v>19</v>
      </c>
      <c r="F17" s="78">
        <v>36</v>
      </c>
      <c r="G17" s="91">
        <f t="array" ref="G17">SUMPRODUCT((H17:AL17="SD")+(H17:AL17="SN")+(H17:AL17="MT")+(H17:AL17="8H")+(H17:AL17="N")+(H17:AL17="M")+(H17:AL17="T")+(H17:AL17="AE")+(H17:AL17="AB")+(H17:AL17="AA")+(H17:AL17="FC"))</f>
        <v>13</v>
      </c>
      <c r="H17" s="102" t="s">
        <v>9</v>
      </c>
      <c r="I17" s="56"/>
      <c r="J17" s="108"/>
      <c r="K17" s="107" t="s">
        <v>9</v>
      </c>
      <c r="L17" s="87"/>
      <c r="M17" s="64" t="s">
        <v>8</v>
      </c>
      <c r="N17" s="102"/>
      <c r="O17" s="103"/>
      <c r="P17" s="108" t="s">
        <v>9</v>
      </c>
      <c r="Q17" s="108"/>
      <c r="R17" s="149" t="s">
        <v>8</v>
      </c>
      <c r="S17" s="108"/>
      <c r="T17" s="108"/>
      <c r="U17" s="103" t="s">
        <v>9</v>
      </c>
      <c r="V17" s="103"/>
      <c r="W17" s="149" t="s">
        <v>8</v>
      </c>
      <c r="X17" s="107"/>
      <c r="Y17" s="108"/>
      <c r="Z17" s="108" t="s">
        <v>9</v>
      </c>
      <c r="AA17" s="108"/>
      <c r="AB17" s="104" t="s">
        <v>8</v>
      </c>
      <c r="AC17" s="102"/>
      <c r="AD17" s="108"/>
      <c r="AE17" s="108" t="s">
        <v>9</v>
      </c>
      <c r="AF17" s="108"/>
      <c r="AG17" s="64" t="s">
        <v>8</v>
      </c>
      <c r="AH17" s="149"/>
      <c r="AI17" s="103" t="s">
        <v>9</v>
      </c>
      <c r="AJ17" s="104"/>
      <c r="AK17" s="231" t="s">
        <v>9</v>
      </c>
      <c r="AL17" s="108"/>
      <c r="AM17" s="211">
        <f t="shared" si="3"/>
        <v>156</v>
      </c>
    </row>
    <row r="18" spans="1:39" ht="18" customHeight="1" x14ac:dyDescent="0.2">
      <c r="A18" s="73">
        <v>1190</v>
      </c>
      <c r="B18" s="73"/>
      <c r="C18" s="63" t="s">
        <v>26</v>
      </c>
      <c r="D18" s="76" t="s">
        <v>18</v>
      </c>
      <c r="E18" s="76" t="s">
        <v>19</v>
      </c>
      <c r="F18" s="78">
        <v>36</v>
      </c>
      <c r="G18" s="91">
        <f t="array" ref="G18">SUMPRODUCT((H18:AL18="SD")+(H18:AL18="SN")+(H18:AL18="MT")+(H18:AL18="8H")+(H18:AL18="N")+(H18:AL18="M")+(H18:AL18="T")+(H18:AL18="AE")+(H18:AL18="AB")+(H18:AL18="AA")+(H18:AL18="FC"))</f>
        <v>13</v>
      </c>
      <c r="H18" s="102" t="s">
        <v>9</v>
      </c>
      <c r="I18" s="56"/>
      <c r="J18" s="107"/>
      <c r="K18" s="108" t="s">
        <v>9</v>
      </c>
      <c r="L18" s="107"/>
      <c r="M18" s="64" t="s">
        <v>8</v>
      </c>
      <c r="N18" s="102"/>
      <c r="O18" s="103"/>
      <c r="P18" s="108" t="s">
        <v>9</v>
      </c>
      <c r="Q18" s="108"/>
      <c r="R18" s="149" t="s">
        <v>8</v>
      </c>
      <c r="S18" s="107"/>
      <c r="T18" s="108"/>
      <c r="U18" s="102" t="s">
        <v>9</v>
      </c>
      <c r="V18" s="103"/>
      <c r="W18" s="149" t="s">
        <v>8</v>
      </c>
      <c r="X18" s="107"/>
      <c r="Y18" s="107"/>
      <c r="Z18" s="108" t="s">
        <v>9</v>
      </c>
      <c r="AA18" s="108"/>
      <c r="AB18" s="104" t="s">
        <v>8</v>
      </c>
      <c r="AC18" s="102"/>
      <c r="AD18" s="108"/>
      <c r="AE18" s="108" t="s">
        <v>9</v>
      </c>
      <c r="AF18" s="107"/>
      <c r="AG18" s="64" t="s">
        <v>8</v>
      </c>
      <c r="AH18" s="107"/>
      <c r="AI18" s="102" t="s">
        <v>9</v>
      </c>
      <c r="AJ18" s="102"/>
      <c r="AK18" s="107"/>
      <c r="AL18" s="108" t="s">
        <v>9</v>
      </c>
      <c r="AM18" s="211">
        <f t="shared" si="3"/>
        <v>156</v>
      </c>
    </row>
    <row r="19" spans="1:39" ht="18" customHeight="1" x14ac:dyDescent="0.2">
      <c r="A19" s="73">
        <v>11111</v>
      </c>
      <c r="B19" s="73"/>
      <c r="C19" s="63" t="s">
        <v>27</v>
      </c>
      <c r="D19" s="76" t="s">
        <v>18</v>
      </c>
      <c r="E19" s="76" t="s">
        <v>19</v>
      </c>
      <c r="F19" s="78">
        <v>37</v>
      </c>
      <c r="G19" s="91">
        <f t="array" ref="G19">SUMPRODUCT((H19:AL19="SD")+(H19:AL19="SN")+(H19:AL19="MT")+(H19:AL19="8H")+(H19:AL19="N")+(H19:AL19="M")+(H19:AL19="T")+(H19:AL19="AE")+(H19:AL19="AB")+(H19:AL19="AA")+(H19:AL19="FC"))</f>
        <v>13</v>
      </c>
      <c r="H19" s="103" t="s">
        <v>9</v>
      </c>
      <c r="I19" s="56"/>
      <c r="J19" s="149"/>
      <c r="K19" s="108" t="s">
        <v>9</v>
      </c>
      <c r="L19" s="107"/>
      <c r="M19" s="64" t="s">
        <v>8</v>
      </c>
      <c r="N19" s="102"/>
      <c r="O19" s="103"/>
      <c r="P19" s="108" t="s">
        <v>9</v>
      </c>
      <c r="Q19" s="107"/>
      <c r="R19" s="149" t="s">
        <v>8</v>
      </c>
      <c r="S19" s="107"/>
      <c r="T19" s="108"/>
      <c r="U19" s="102" t="s">
        <v>9</v>
      </c>
      <c r="V19" s="102"/>
      <c r="W19" s="149" t="s">
        <v>8</v>
      </c>
      <c r="X19" s="107"/>
      <c r="Y19" s="107"/>
      <c r="Z19" s="108" t="s">
        <v>9</v>
      </c>
      <c r="AA19" s="108"/>
      <c r="AB19" s="104" t="s">
        <v>8</v>
      </c>
      <c r="AC19" s="103"/>
      <c r="AD19" s="149"/>
      <c r="AE19" s="108" t="s">
        <v>9</v>
      </c>
      <c r="AF19" s="108"/>
      <c r="AG19" s="64" t="s">
        <v>8</v>
      </c>
      <c r="AH19" s="108"/>
      <c r="AI19" s="103" t="s">
        <v>9</v>
      </c>
      <c r="AJ19" s="103"/>
      <c r="AK19" s="108"/>
      <c r="AL19" s="107" t="s">
        <v>9</v>
      </c>
      <c r="AM19" s="211">
        <f t="shared" si="3"/>
        <v>156</v>
      </c>
    </row>
    <row r="20" spans="1:39" ht="18" customHeight="1" x14ac:dyDescent="0.2">
      <c r="A20" s="73">
        <v>1183</v>
      </c>
      <c r="B20" s="73"/>
      <c r="C20" s="63" t="s">
        <v>83</v>
      </c>
      <c r="D20" s="76" t="s">
        <v>18</v>
      </c>
      <c r="E20" s="76" t="s">
        <v>19</v>
      </c>
      <c r="F20" s="78">
        <v>36</v>
      </c>
      <c r="G20" s="91">
        <f t="array" ref="G20">SUMPRODUCT((H20:AL20="SD")+(H20:AL20="SN")+(H20:AL20="MT")+(H20:AL20="8H")+(H20:AL20="N")+(H20:AL20="M")+(H20:AL20="T")+(H20:AL20="AE")+(H20:AL20="AB")+(H20:AL20="AA")+(H20:AL20="FC"))</f>
        <v>13</v>
      </c>
      <c r="H20" s="103" t="s">
        <v>9</v>
      </c>
      <c r="I20" s="56"/>
      <c r="J20" s="107"/>
      <c r="K20" s="108" t="s">
        <v>9</v>
      </c>
      <c r="L20" s="107"/>
      <c r="M20" s="64" t="s">
        <v>8</v>
      </c>
      <c r="N20" s="102"/>
      <c r="O20" s="103"/>
      <c r="P20" s="108" t="s">
        <v>9</v>
      </c>
      <c r="Q20" s="107"/>
      <c r="R20" s="149" t="s">
        <v>8</v>
      </c>
      <c r="S20" s="107"/>
      <c r="T20" s="108"/>
      <c r="U20" s="102" t="s">
        <v>9</v>
      </c>
      <c r="V20" s="102"/>
      <c r="W20" s="149" t="s">
        <v>8</v>
      </c>
      <c r="X20" s="107"/>
      <c r="Y20" s="107"/>
      <c r="Z20" s="108" t="s">
        <v>9</v>
      </c>
      <c r="AA20" s="108"/>
      <c r="AB20" s="104" t="s">
        <v>8</v>
      </c>
      <c r="AC20" s="103"/>
      <c r="AD20" s="108"/>
      <c r="AE20" s="108" t="s">
        <v>9</v>
      </c>
      <c r="AF20" s="107"/>
      <c r="AG20" s="64" t="s">
        <v>8</v>
      </c>
      <c r="AH20" s="107"/>
      <c r="AI20" s="102" t="s">
        <v>9</v>
      </c>
      <c r="AJ20" s="102"/>
      <c r="AK20" s="107"/>
      <c r="AL20" s="108" t="s">
        <v>9</v>
      </c>
      <c r="AM20" s="211">
        <f t="shared" si="3"/>
        <v>156</v>
      </c>
    </row>
    <row r="21" spans="1:39" ht="18" customHeight="1" x14ac:dyDescent="0.2">
      <c r="A21" s="73">
        <v>1235</v>
      </c>
      <c r="B21" s="73">
        <v>475428</v>
      </c>
      <c r="C21" s="63" t="s">
        <v>28</v>
      </c>
      <c r="D21" s="76" t="s">
        <v>18</v>
      </c>
      <c r="E21" s="76" t="s">
        <v>19</v>
      </c>
      <c r="F21" s="78">
        <v>36</v>
      </c>
      <c r="G21" s="91">
        <f t="array" ref="G21">SUMPRODUCT((H21:AL21="SD")+(H21:AL21="SN")+(H21:AL21="MT")+(H21:AL21="8H")+(H21:AL21="N")+(H21:AL21="M")+(H21:AL21="T")+(H21:AL21="AE")+(H21:AL21="AB")+(H21:AL21="AA")+(H21:AL21="FC"))</f>
        <v>13</v>
      </c>
      <c r="H21" s="103" t="s">
        <v>9</v>
      </c>
      <c r="I21" s="56"/>
      <c r="J21" s="107"/>
      <c r="K21" s="95" t="s">
        <v>9</v>
      </c>
      <c r="L21" s="107"/>
      <c r="M21" s="56" t="s">
        <v>9</v>
      </c>
      <c r="N21" s="103"/>
      <c r="O21" s="102"/>
      <c r="P21" s="108" t="s">
        <v>9</v>
      </c>
      <c r="Q21" s="107"/>
      <c r="R21" s="149" t="s">
        <v>8</v>
      </c>
      <c r="S21" s="108"/>
      <c r="T21" s="107"/>
      <c r="U21" s="103" t="s">
        <v>9</v>
      </c>
      <c r="V21" s="102"/>
      <c r="W21" s="149" t="s">
        <v>8</v>
      </c>
      <c r="X21" s="108"/>
      <c r="Y21" s="108"/>
      <c r="Z21" s="108" t="s">
        <v>9</v>
      </c>
      <c r="AA21" s="108"/>
      <c r="AB21" s="104" t="s">
        <v>8</v>
      </c>
      <c r="AC21" s="103"/>
      <c r="AD21" s="108"/>
      <c r="AE21" s="108" t="s">
        <v>9</v>
      </c>
      <c r="AF21" s="108"/>
      <c r="AG21" s="64" t="s">
        <v>8</v>
      </c>
      <c r="AH21" s="108"/>
      <c r="AI21" s="103"/>
      <c r="AJ21" s="103"/>
      <c r="AK21" s="108" t="s">
        <v>9</v>
      </c>
      <c r="AL21" s="107" t="s">
        <v>9</v>
      </c>
      <c r="AM21" s="211">
        <f t="shared" si="3"/>
        <v>156</v>
      </c>
    </row>
    <row r="22" spans="1:39" ht="23.25" customHeight="1" x14ac:dyDescent="0.2">
      <c r="A22" s="73">
        <v>11102</v>
      </c>
      <c r="B22" s="73"/>
      <c r="C22" s="63" t="s">
        <v>30</v>
      </c>
      <c r="D22" s="76" t="s">
        <v>18</v>
      </c>
      <c r="E22" s="76" t="s">
        <v>19</v>
      </c>
      <c r="F22" s="78">
        <v>36</v>
      </c>
      <c r="G22" s="91">
        <f t="array" ref="G22">SUMPRODUCT((H22:AL22="SD")+(H22:AL22="SN")+(H22:AL22="MT")+(H22:AL22="8H")+(H22:AL22="N")+(H22:AL22="M")+(H22:AL22="T")+(H22:AL22="AE")+(H22:AL22="AB")+(H22:AL22="AA")+(H22:AL22="FC"))</f>
        <v>13</v>
      </c>
      <c r="H22" s="104" t="s">
        <v>8</v>
      </c>
      <c r="I22" s="56"/>
      <c r="J22" s="107"/>
      <c r="K22" s="87" t="s">
        <v>9</v>
      </c>
      <c r="L22" s="107"/>
      <c r="M22" s="108" t="s">
        <v>9</v>
      </c>
      <c r="N22" s="103"/>
      <c r="O22" s="104"/>
      <c r="P22" s="108" t="s">
        <v>9</v>
      </c>
      <c r="Q22" s="107" t="s">
        <v>9</v>
      </c>
      <c r="R22" s="149" t="s">
        <v>8</v>
      </c>
      <c r="S22" s="108"/>
      <c r="T22" s="107"/>
      <c r="U22" s="103" t="s">
        <v>9</v>
      </c>
      <c r="V22" s="102"/>
      <c r="W22" s="149" t="s">
        <v>8</v>
      </c>
      <c r="X22" s="108"/>
      <c r="Y22" s="108"/>
      <c r="Z22" s="108" t="s">
        <v>9</v>
      </c>
      <c r="AA22" s="108"/>
      <c r="AB22" s="104" t="s">
        <v>8</v>
      </c>
      <c r="AC22" s="103"/>
      <c r="AD22" s="108"/>
      <c r="AE22" s="108" t="s">
        <v>9</v>
      </c>
      <c r="AF22" s="108"/>
      <c r="AG22" s="64" t="s">
        <v>8</v>
      </c>
      <c r="AH22" s="108"/>
      <c r="AI22" s="103"/>
      <c r="AJ22" s="103"/>
      <c r="AK22" s="108"/>
      <c r="AL22" s="107" t="s">
        <v>9</v>
      </c>
      <c r="AM22" s="211">
        <f t="shared" si="3"/>
        <v>156</v>
      </c>
    </row>
    <row r="23" spans="1:39" ht="18" customHeight="1" x14ac:dyDescent="0.2">
      <c r="A23" s="73">
        <v>1181</v>
      </c>
      <c r="B23" s="73">
        <v>1256897</v>
      </c>
      <c r="C23" s="63" t="s">
        <v>29</v>
      </c>
      <c r="D23" s="76" t="s">
        <v>18</v>
      </c>
      <c r="E23" s="76" t="s">
        <v>19</v>
      </c>
      <c r="F23" s="78">
        <v>36</v>
      </c>
      <c r="G23" s="91">
        <f t="array" ref="G23">SUMPRODUCT((H23:AL23="SD")+(H23:AL23="SN")+(H23:AL23="MT")+(H23:AL23="8H")+(H23:AL23="N")+(H23:AL23="M")+(H23:AL23="T")+(H23:AL23="AE")+(H23:AL23="AB")+(H23:AL23="AA")+(H23:AL23="FC"))</f>
        <v>13</v>
      </c>
      <c r="H23" s="102"/>
      <c r="I23" s="57"/>
      <c r="J23" s="108" t="s">
        <v>9</v>
      </c>
      <c r="K23" s="107"/>
      <c r="L23" s="149" t="s">
        <v>8</v>
      </c>
      <c r="M23" s="107"/>
      <c r="N23" s="103"/>
      <c r="O23" s="102" t="s">
        <v>9</v>
      </c>
      <c r="P23" s="108"/>
      <c r="Q23" s="149" t="s">
        <v>8</v>
      </c>
      <c r="R23" s="107"/>
      <c r="S23" s="108"/>
      <c r="T23" s="107"/>
      <c r="U23" s="102" t="s">
        <v>9</v>
      </c>
      <c r="V23" s="103"/>
      <c r="W23" s="107" t="s">
        <v>9</v>
      </c>
      <c r="X23" s="108"/>
      <c r="Y23" s="149" t="s">
        <v>8</v>
      </c>
      <c r="Z23" s="107"/>
      <c r="AA23" s="108"/>
      <c r="AB23" s="102" t="s">
        <v>9</v>
      </c>
      <c r="AC23" s="103"/>
      <c r="AD23" s="149" t="s">
        <v>8</v>
      </c>
      <c r="AE23" s="107"/>
      <c r="AF23" s="108" t="s">
        <v>9</v>
      </c>
      <c r="AG23" s="108" t="s">
        <v>9</v>
      </c>
      <c r="AH23" s="56"/>
      <c r="AI23" s="104" t="s">
        <v>8</v>
      </c>
      <c r="AJ23" s="103"/>
      <c r="AK23" s="56"/>
      <c r="AL23" s="108" t="s">
        <v>9</v>
      </c>
      <c r="AM23" s="211">
        <f t="shared" si="3"/>
        <v>156</v>
      </c>
    </row>
    <row r="24" spans="1:39" ht="18" customHeight="1" x14ac:dyDescent="0.2">
      <c r="A24" s="73">
        <v>11103</v>
      </c>
      <c r="B24" s="73">
        <v>1256875</v>
      </c>
      <c r="C24" s="63" t="s">
        <v>31</v>
      </c>
      <c r="D24" s="76" t="s">
        <v>18</v>
      </c>
      <c r="E24" s="76" t="s">
        <v>19</v>
      </c>
      <c r="F24" s="78">
        <v>36</v>
      </c>
      <c r="G24" s="91">
        <f t="array" ref="G24">SUMPRODUCT((H24:AL24="SD")+(H24:AL24="SN")+(H24:AL24="MT")+(H24:AL24="8H")+(H24:AL24="N")+(H24:AL24="M")+(H24:AL24="T")+(H24:AL24="AE")+(H24:AL24="AB")+(H24:AL24="AA")+(H24:AL24="FC"))</f>
        <v>13</v>
      </c>
      <c r="H24" s="102"/>
      <c r="I24" s="56"/>
      <c r="J24" s="107" t="s">
        <v>9</v>
      </c>
      <c r="K24" s="107"/>
      <c r="L24" s="149" t="s">
        <v>8</v>
      </c>
      <c r="M24" s="107"/>
      <c r="N24" s="103"/>
      <c r="O24" s="104" t="s">
        <v>8</v>
      </c>
      <c r="P24" s="107"/>
      <c r="Q24" s="149"/>
      <c r="R24" s="108" t="s">
        <v>9</v>
      </c>
      <c r="S24" s="108"/>
      <c r="T24" s="149" t="s">
        <v>8</v>
      </c>
      <c r="U24" s="103"/>
      <c r="V24" s="104"/>
      <c r="W24" s="108" t="s">
        <v>9</v>
      </c>
      <c r="X24" s="107"/>
      <c r="Y24" s="149" t="s">
        <v>8</v>
      </c>
      <c r="Z24" s="107"/>
      <c r="AA24" s="107"/>
      <c r="AB24" s="102" t="s">
        <v>9</v>
      </c>
      <c r="AC24" s="102"/>
      <c r="AD24" s="149" t="s">
        <v>8</v>
      </c>
      <c r="AE24" s="149"/>
      <c r="AF24" s="107" t="s">
        <v>9</v>
      </c>
      <c r="AG24" s="108" t="s">
        <v>9</v>
      </c>
      <c r="AH24" s="57"/>
      <c r="AI24" s="104" t="s">
        <v>8</v>
      </c>
      <c r="AJ24" s="102"/>
      <c r="AK24" s="57" t="s">
        <v>9</v>
      </c>
      <c r="AL24" s="149"/>
      <c r="AM24" s="211">
        <f t="shared" si="3"/>
        <v>156</v>
      </c>
    </row>
    <row r="25" spans="1:39" ht="29.25" customHeight="1" x14ac:dyDescent="0.2">
      <c r="A25" s="73">
        <v>12861</v>
      </c>
      <c r="B25" s="73">
        <v>1172982</v>
      </c>
      <c r="C25" s="63" t="s">
        <v>35</v>
      </c>
      <c r="D25" s="76" t="s">
        <v>18</v>
      </c>
      <c r="E25" s="76" t="s">
        <v>19</v>
      </c>
      <c r="F25" s="78">
        <v>36</v>
      </c>
      <c r="G25" s="91">
        <f t="array" ref="G25">SUMPRODUCT((H25:AL25="SD")+(H25:AL25="SN")+(H25:AL25="MT")+(H25:AL25="8H")+(H25:AL25="N")+(H25:AL25="M")+(H25:AL25="T")+(H25:AL25="AE")+(H25:AL25="AB")+(H25:AL25="AA")+(H25:AL25="FC"))</f>
        <v>13</v>
      </c>
      <c r="H25" s="104"/>
      <c r="I25" s="56"/>
      <c r="J25" s="149" t="s">
        <v>8</v>
      </c>
      <c r="K25" s="108"/>
      <c r="L25" s="107"/>
      <c r="M25" s="107" t="s">
        <v>9</v>
      </c>
      <c r="N25" s="102"/>
      <c r="O25" s="104" t="s">
        <v>8</v>
      </c>
      <c r="P25" s="108"/>
      <c r="Q25" s="107" t="s">
        <v>9</v>
      </c>
      <c r="R25" s="108"/>
      <c r="S25" s="108"/>
      <c r="T25" s="149" t="s">
        <v>8</v>
      </c>
      <c r="U25" s="103"/>
      <c r="V25" s="102"/>
      <c r="W25" s="108" t="s">
        <v>9</v>
      </c>
      <c r="X25" s="107"/>
      <c r="Y25" s="149" t="s">
        <v>8</v>
      </c>
      <c r="Z25" s="149"/>
      <c r="AA25" s="108" t="s">
        <v>9</v>
      </c>
      <c r="AB25" s="102" t="s">
        <v>9</v>
      </c>
      <c r="AC25" s="102"/>
      <c r="AD25" s="149" t="s">
        <v>8</v>
      </c>
      <c r="AE25" s="149"/>
      <c r="AF25" s="107" t="s">
        <v>9</v>
      </c>
      <c r="AG25" s="108" t="s">
        <v>9</v>
      </c>
      <c r="AH25" s="57"/>
      <c r="AI25" s="104" t="s">
        <v>8</v>
      </c>
      <c r="AJ25" s="102"/>
      <c r="AK25" s="57"/>
      <c r="AL25" s="149"/>
      <c r="AM25" s="211">
        <f t="shared" si="3"/>
        <v>156</v>
      </c>
    </row>
    <row r="26" spans="1:39" ht="23.25" customHeight="1" x14ac:dyDescent="0.2">
      <c r="A26" s="73">
        <v>1121</v>
      </c>
      <c r="B26" s="73"/>
      <c r="C26" s="63" t="s">
        <v>34</v>
      </c>
      <c r="D26" s="76" t="s">
        <v>18</v>
      </c>
      <c r="E26" s="76" t="s">
        <v>19</v>
      </c>
      <c r="F26" s="78">
        <v>36</v>
      </c>
      <c r="G26" s="91">
        <f t="array" ref="G26">SUMPRODUCT((H26:AL26="SD")+(H26:AL26="SN")+(H26:AL26="MT")+(H26:AL26="8H")+(H26:AL26="N")+(H26:AL26="M")+(H26:AL26="T")+(H26:AL26="AE")+(H26:AL26="AB")+(H26:AL26="AA")+(H26:AL26="FC"))</f>
        <v>13</v>
      </c>
      <c r="H26" s="102" t="s">
        <v>9</v>
      </c>
      <c r="I26" s="56"/>
      <c r="J26" s="149" t="s">
        <v>8</v>
      </c>
      <c r="K26" s="108"/>
      <c r="L26" s="149"/>
      <c r="M26" s="108" t="s">
        <v>9</v>
      </c>
      <c r="N26" s="102"/>
      <c r="O26" s="104" t="s">
        <v>8</v>
      </c>
      <c r="P26" s="108"/>
      <c r="Q26" s="107"/>
      <c r="R26" s="108" t="s">
        <v>9</v>
      </c>
      <c r="S26" s="108"/>
      <c r="T26" s="149" t="s">
        <v>8</v>
      </c>
      <c r="U26" s="103"/>
      <c r="V26" s="102"/>
      <c r="W26" s="108" t="s">
        <v>9</v>
      </c>
      <c r="X26" s="107"/>
      <c r="Y26" s="149" t="s">
        <v>8</v>
      </c>
      <c r="Z26" s="149"/>
      <c r="AA26" s="108"/>
      <c r="AB26" s="102" t="s">
        <v>9</v>
      </c>
      <c r="AC26" s="102"/>
      <c r="AD26" s="149" t="s">
        <v>8</v>
      </c>
      <c r="AE26" s="149"/>
      <c r="AF26" s="107"/>
      <c r="AG26" s="108" t="s">
        <v>9</v>
      </c>
      <c r="AH26" s="57"/>
      <c r="AI26" s="104" t="s">
        <v>8</v>
      </c>
      <c r="AJ26" s="102"/>
      <c r="AK26" s="57"/>
      <c r="AL26" s="108" t="s">
        <v>9</v>
      </c>
      <c r="AM26" s="211">
        <v>156</v>
      </c>
    </row>
    <row r="27" spans="1:39" ht="18" customHeight="1" x14ac:dyDescent="0.2">
      <c r="A27" s="73">
        <v>12856</v>
      </c>
      <c r="B27" s="73">
        <v>464434</v>
      </c>
      <c r="C27" s="63" t="s">
        <v>36</v>
      </c>
      <c r="D27" s="76" t="s">
        <v>18</v>
      </c>
      <c r="E27" s="76" t="s">
        <v>19</v>
      </c>
      <c r="F27" s="78">
        <v>36</v>
      </c>
      <c r="G27" s="91">
        <f t="array" ref="G27">SUMPRODUCT((H27:AL27="SD")+(H27:AL27="SN")+(H27:AL27="MT")+(H27:AL27="8H")+(H27:AL27="N")+(H27:AL27="M")+(H27:AL27="T")+(H27:AL27="AE")+(H27:AL27="AB")+(H27:AL27="AA")+(H27:AL27="FC"))</f>
        <v>13</v>
      </c>
      <c r="H27" s="102"/>
      <c r="I27" s="56"/>
      <c r="J27" s="149" t="s">
        <v>8</v>
      </c>
      <c r="K27" s="107"/>
      <c r="L27" s="108"/>
      <c r="M27" s="149" t="s">
        <v>8</v>
      </c>
      <c r="N27" s="103"/>
      <c r="O27" s="104" t="s">
        <v>8</v>
      </c>
      <c r="P27" s="107"/>
      <c r="Q27" s="108"/>
      <c r="R27" s="108" t="s">
        <v>9</v>
      </c>
      <c r="S27" s="108"/>
      <c r="T27" s="149" t="s">
        <v>8</v>
      </c>
      <c r="U27" s="104"/>
      <c r="V27" s="103" t="s">
        <v>9</v>
      </c>
      <c r="W27" s="149" t="s">
        <v>8</v>
      </c>
      <c r="X27" s="107"/>
      <c r="Y27" s="149" t="s">
        <v>8</v>
      </c>
      <c r="Z27" s="149"/>
      <c r="AA27" s="107"/>
      <c r="AB27" s="102" t="s">
        <v>9</v>
      </c>
      <c r="AC27" s="102"/>
      <c r="AD27" s="149" t="s">
        <v>8</v>
      </c>
      <c r="AE27" s="149"/>
      <c r="AF27" s="107"/>
      <c r="AG27" s="108" t="s">
        <v>9</v>
      </c>
      <c r="AH27" s="57"/>
      <c r="AI27" s="104" t="s">
        <v>8</v>
      </c>
      <c r="AJ27" s="102"/>
      <c r="AK27" s="64" t="s">
        <v>8</v>
      </c>
      <c r="AL27" s="149"/>
      <c r="AM27" s="211">
        <f t="shared" ref="AM27:AM34" si="4">SUMPRODUCT((H27:AL27="SD")*12 + (H27:AL27="SN")*12 + (H27:AL27="MT")*8 + (H27:AL27="M")*6 + (H27:AL27="T")*6)</f>
        <v>156</v>
      </c>
    </row>
    <row r="28" spans="1:39" ht="18" customHeight="1" x14ac:dyDescent="0.2">
      <c r="A28" s="73">
        <v>1126</v>
      </c>
      <c r="B28" s="73"/>
      <c r="C28" s="63" t="s">
        <v>65</v>
      </c>
      <c r="D28" s="76" t="s">
        <v>18</v>
      </c>
      <c r="E28" s="76" t="s">
        <v>19</v>
      </c>
      <c r="F28" s="78">
        <v>36</v>
      </c>
      <c r="G28" s="91">
        <f t="array" ref="G28">SUMPRODUCT((H28:AL28="SD")+(H28:AL28="SN")+(H28:AL28="MT")+(H28:AL28="8H")+(H28:AL28="N")+(H28:AL28="M")+(H28:AL28="T")+(H28:AL28="AE")+(H28:AL28="AB")+(H28:AL28="AA")+(H28:AL28="FC"))</f>
        <v>13</v>
      </c>
      <c r="H28" s="102"/>
      <c r="I28" s="56"/>
      <c r="J28" s="149" t="s">
        <v>8</v>
      </c>
      <c r="K28" s="107"/>
      <c r="L28" s="108"/>
      <c r="M28" s="108" t="s">
        <v>9</v>
      </c>
      <c r="N28" s="103"/>
      <c r="O28" s="104" t="s">
        <v>8</v>
      </c>
      <c r="P28" s="149"/>
      <c r="Q28" s="108"/>
      <c r="R28" s="108" t="s">
        <v>9</v>
      </c>
      <c r="S28" s="108"/>
      <c r="T28" s="149" t="s">
        <v>8</v>
      </c>
      <c r="U28" s="104"/>
      <c r="V28" s="103" t="s">
        <v>9</v>
      </c>
      <c r="W28" s="108" t="s">
        <v>9</v>
      </c>
      <c r="X28" s="107"/>
      <c r="Y28" s="149" t="s">
        <v>8</v>
      </c>
      <c r="Z28" s="149"/>
      <c r="AA28" s="107"/>
      <c r="AB28" s="102" t="s">
        <v>9</v>
      </c>
      <c r="AC28" s="102"/>
      <c r="AD28" s="149" t="s">
        <v>8</v>
      </c>
      <c r="AE28" s="108"/>
      <c r="AF28" s="107"/>
      <c r="AG28" s="108" t="s">
        <v>9</v>
      </c>
      <c r="AH28" s="57"/>
      <c r="AI28" s="104" t="s">
        <v>8</v>
      </c>
      <c r="AJ28" s="102"/>
      <c r="AK28" s="64" t="s">
        <v>8</v>
      </c>
      <c r="AL28" s="149"/>
      <c r="AM28" s="211">
        <f t="shared" si="4"/>
        <v>156</v>
      </c>
    </row>
    <row r="29" spans="1:39" s="60" customFormat="1" ht="18" customHeight="1" x14ac:dyDescent="0.25">
      <c r="A29" s="160">
        <v>17855</v>
      </c>
      <c r="B29" s="161">
        <v>310226</v>
      </c>
      <c r="C29" s="156" t="s">
        <v>79</v>
      </c>
      <c r="D29" s="157" t="s">
        <v>18</v>
      </c>
      <c r="E29" s="76" t="s">
        <v>19</v>
      </c>
      <c r="F29" s="78">
        <v>36</v>
      </c>
      <c r="G29" s="91">
        <f t="array" ref="G29">SUMPRODUCT((H29:AL29="SD")+(H29:AL29="SN")+(H29:AL29="MT")+(H29:AL29="8H")+(H29:AL29="N")+(H29:AL29="M")+(H29:AL29="T")+(H29:AL29="AE")+(H29:AL29="AB")+(H29:AL29="AA")+(H29:AL29="FC"))</f>
        <v>13</v>
      </c>
      <c r="H29" s="105"/>
      <c r="I29" s="232" t="s">
        <v>9</v>
      </c>
      <c r="J29" s="89" t="s">
        <v>9</v>
      </c>
      <c r="K29" s="87"/>
      <c r="L29" s="149" t="s">
        <v>8</v>
      </c>
      <c r="M29" s="87"/>
      <c r="N29" s="105"/>
      <c r="O29" s="105" t="s">
        <v>9</v>
      </c>
      <c r="P29" s="87"/>
      <c r="Q29" s="149"/>
      <c r="R29" s="149" t="s">
        <v>8</v>
      </c>
      <c r="S29" s="95"/>
      <c r="T29" s="108" t="s">
        <v>9</v>
      </c>
      <c r="U29" s="105"/>
      <c r="V29" s="104" t="s">
        <v>8</v>
      </c>
      <c r="W29" s="95"/>
      <c r="X29" s="95"/>
      <c r="Y29" s="95"/>
      <c r="Z29" s="87" t="s">
        <v>9</v>
      </c>
      <c r="AA29" s="108" t="s">
        <v>9</v>
      </c>
      <c r="AB29" s="105"/>
      <c r="AC29" s="106"/>
      <c r="AD29" s="108"/>
      <c r="AE29" s="90" t="s">
        <v>8</v>
      </c>
      <c r="AF29" s="149" t="s">
        <v>8</v>
      </c>
      <c r="AG29" s="89"/>
      <c r="AH29" s="89"/>
      <c r="AI29" s="105" t="s">
        <v>9</v>
      </c>
      <c r="AJ29" s="105"/>
      <c r="AK29" s="152" t="s">
        <v>8</v>
      </c>
      <c r="AL29" s="107"/>
      <c r="AM29" s="212">
        <f t="shared" si="4"/>
        <v>156</v>
      </c>
    </row>
    <row r="30" spans="1:39" s="60" customFormat="1" ht="18" customHeight="1" x14ac:dyDescent="0.25">
      <c r="A30" s="160">
        <v>17873</v>
      </c>
      <c r="B30" s="161">
        <v>850301</v>
      </c>
      <c r="C30" s="156" t="s">
        <v>80</v>
      </c>
      <c r="D30" s="157" t="s">
        <v>18</v>
      </c>
      <c r="E30" s="76" t="s">
        <v>19</v>
      </c>
      <c r="F30" s="78">
        <v>36</v>
      </c>
      <c r="G30" s="91">
        <f t="array" ref="G30">SUMPRODUCT((H30:AL30="SD")+(H30:AL30="SN")+(H30:AL30="MT")+(H30:AL30="8H")+(H30:AL30="N")+(H30:AL30="M")+(H30:AL30="T")+(H30:AL30="AE")+(H30:AL30="AB")+(H30:AL30="AA")+(H30:AL30="FC"))</f>
        <v>13</v>
      </c>
      <c r="H30" s="105"/>
      <c r="I30" s="236" t="s">
        <v>9</v>
      </c>
      <c r="J30" s="89" t="s">
        <v>9</v>
      </c>
      <c r="K30" s="87"/>
      <c r="L30" s="149" t="s">
        <v>8</v>
      </c>
      <c r="M30" s="87"/>
      <c r="N30" s="105"/>
      <c r="O30" s="105" t="s">
        <v>9</v>
      </c>
      <c r="P30" s="87"/>
      <c r="Q30" s="149" t="s">
        <v>8</v>
      </c>
      <c r="R30" s="95"/>
      <c r="S30" s="95"/>
      <c r="T30" s="108" t="s">
        <v>9</v>
      </c>
      <c r="U30" s="105"/>
      <c r="V30" s="104" t="s">
        <v>8</v>
      </c>
      <c r="W30" s="95"/>
      <c r="X30" s="95"/>
      <c r="Y30" s="95" t="s">
        <v>9</v>
      </c>
      <c r="Z30" s="90"/>
      <c r="AA30" s="149" t="s">
        <v>8</v>
      </c>
      <c r="AB30" s="105"/>
      <c r="AC30" s="106"/>
      <c r="AD30" s="108" t="s">
        <v>9</v>
      </c>
      <c r="AE30" s="95"/>
      <c r="AF30" s="149" t="s">
        <v>8</v>
      </c>
      <c r="AG30" s="89"/>
      <c r="AH30" s="89"/>
      <c r="AI30" s="105" t="s">
        <v>9</v>
      </c>
      <c r="AJ30" s="105"/>
      <c r="AK30" s="152" t="s">
        <v>8</v>
      </c>
      <c r="AL30" s="107"/>
      <c r="AM30" s="212">
        <f t="shared" si="4"/>
        <v>156</v>
      </c>
    </row>
    <row r="31" spans="1:39" s="60" customFormat="1" ht="18" customHeight="1" x14ac:dyDescent="0.25">
      <c r="A31" s="160">
        <v>17878</v>
      </c>
      <c r="B31" s="161"/>
      <c r="C31" s="156" t="s">
        <v>81</v>
      </c>
      <c r="D31" s="157" t="s">
        <v>18</v>
      </c>
      <c r="E31" s="76" t="s">
        <v>19</v>
      </c>
      <c r="F31" s="78">
        <v>36</v>
      </c>
      <c r="G31" s="91">
        <f t="array" ref="G31">SUMPRODUCT((H31:AL31="SD")+(H31:AL31="SN")+(H31:AL31="MT")+(H31:AL31="8H")+(H31:AL31="N")+(H31:AL31="M")+(H31:AL31="T")+(H31:AL31="AE")+(H31:AL31="AB")+(H31:AL31="AA")+(H31:AL31="FC"))</f>
        <v>13</v>
      </c>
      <c r="H31" s="105"/>
      <c r="J31" s="89" t="s">
        <v>9</v>
      </c>
      <c r="K31" s="87"/>
      <c r="L31" s="149" t="s">
        <v>8</v>
      </c>
      <c r="M31" s="87"/>
      <c r="N31" s="105"/>
      <c r="O31" s="105" t="s">
        <v>9</v>
      </c>
      <c r="P31" s="87"/>
      <c r="Q31" s="149" t="s">
        <v>8</v>
      </c>
      <c r="R31" s="95"/>
      <c r="S31" s="95"/>
      <c r="T31" s="108" t="s">
        <v>9</v>
      </c>
      <c r="U31" s="105"/>
      <c r="V31" s="104" t="s">
        <v>8</v>
      </c>
      <c r="W31" s="95"/>
      <c r="X31" s="95" t="s">
        <v>9</v>
      </c>
      <c r="Y31" s="95" t="s">
        <v>9</v>
      </c>
      <c r="Z31" s="90"/>
      <c r="AA31" s="149" t="s">
        <v>8</v>
      </c>
      <c r="AB31" s="151"/>
      <c r="AC31" s="105"/>
      <c r="AD31" s="108" t="s">
        <v>9</v>
      </c>
      <c r="AE31" s="95"/>
      <c r="AF31" s="149" t="s">
        <v>8</v>
      </c>
      <c r="AG31" s="89"/>
      <c r="AH31" s="89"/>
      <c r="AI31" s="105" t="s">
        <v>9</v>
      </c>
      <c r="AJ31" s="105"/>
      <c r="AK31" s="152" t="s">
        <v>8</v>
      </c>
      <c r="AL31" s="107"/>
      <c r="AM31" s="212">
        <f t="shared" si="4"/>
        <v>156</v>
      </c>
    </row>
    <row r="32" spans="1:39" s="60" customFormat="1" ht="18" customHeight="1" x14ac:dyDescent="0.25">
      <c r="A32" s="160">
        <v>1694</v>
      </c>
      <c r="B32" s="161"/>
      <c r="C32" s="156" t="s">
        <v>54</v>
      </c>
      <c r="D32" s="157" t="s">
        <v>18</v>
      </c>
      <c r="E32" s="76" t="s">
        <v>19</v>
      </c>
      <c r="F32" s="78">
        <v>36</v>
      </c>
      <c r="G32" s="91">
        <f t="array" ref="G32">SUMPRODUCT((H32:AL32="SD")+(H32:AL32="SN")+(H32:AL32="MT")+(H32:AL32="8H")+(H32:AL32="N")+(H32:AL32="M")+(H32:AL32="T")+(H32:AL32="AE")+(H32:AL32="AB")+(H32:AL32="AA")+(H32:AL32="FC"))</f>
        <v>13</v>
      </c>
      <c r="H32" s="151" t="s">
        <v>8</v>
      </c>
      <c r="I32" s="232"/>
      <c r="J32" s="152" t="s">
        <v>8</v>
      </c>
      <c r="K32" s="95"/>
      <c r="L32" s="87"/>
      <c r="M32" s="90" t="s">
        <v>8</v>
      </c>
      <c r="N32" s="106"/>
      <c r="O32" s="151" t="s">
        <v>8</v>
      </c>
      <c r="P32" s="95"/>
      <c r="Q32" s="87"/>
      <c r="R32" s="95" t="s">
        <v>9</v>
      </c>
      <c r="S32" s="95"/>
      <c r="T32" s="149" t="s">
        <v>8</v>
      </c>
      <c r="U32" s="106"/>
      <c r="V32" s="105"/>
      <c r="W32" s="90" t="s">
        <v>8</v>
      </c>
      <c r="X32" s="87"/>
      <c r="Y32" s="95" t="s">
        <v>9</v>
      </c>
      <c r="Z32" s="87"/>
      <c r="AA32" s="149" t="s">
        <v>8</v>
      </c>
      <c r="AB32" s="105"/>
      <c r="AC32" s="106"/>
      <c r="AD32" s="149" t="s">
        <v>8</v>
      </c>
      <c r="AE32" s="87"/>
      <c r="AF32" s="149" t="s">
        <v>8</v>
      </c>
      <c r="AG32" s="61"/>
      <c r="AH32" s="89"/>
      <c r="AI32" s="105" t="s">
        <v>9</v>
      </c>
      <c r="AJ32" s="105"/>
      <c r="AK32" s="152" t="s">
        <v>8</v>
      </c>
      <c r="AL32" s="107"/>
      <c r="AM32" s="212">
        <f t="shared" si="4"/>
        <v>156</v>
      </c>
    </row>
    <row r="33" spans="1:39" s="60" customFormat="1" ht="22.5" customHeight="1" x14ac:dyDescent="0.25">
      <c r="A33" s="161">
        <v>1144</v>
      </c>
      <c r="B33" s="161"/>
      <c r="C33" s="213" t="s">
        <v>102</v>
      </c>
      <c r="D33" s="157" t="s">
        <v>18</v>
      </c>
      <c r="E33" s="76" t="s">
        <v>19</v>
      </c>
      <c r="F33" s="78">
        <v>36</v>
      </c>
      <c r="G33" s="91">
        <f t="array" ref="G33">SUMPRODUCT((H33:AL33="SD")+(H33:AL33="SN")+(H33:AL33="MT")+(H33:AL33="8H")+(H33:AL33="N")+(H33:AL33="M")+(H33:AL33="T")+(H33:AL33="AE")+(H33:AL33="AB")+(H33:AL33="AA")+(H33:AL33="FC"))</f>
        <v>13</v>
      </c>
      <c r="H33" s="151" t="s">
        <v>8</v>
      </c>
      <c r="I33" s="95"/>
      <c r="J33" s="87"/>
      <c r="K33" s="95" t="s">
        <v>9</v>
      </c>
      <c r="L33" s="87"/>
      <c r="M33" s="232" t="s">
        <v>9</v>
      </c>
      <c r="N33" s="106"/>
      <c r="O33" s="105" t="s">
        <v>9</v>
      </c>
      <c r="P33" s="95"/>
      <c r="Q33" s="149" t="s">
        <v>8</v>
      </c>
      <c r="R33" s="95"/>
      <c r="S33" s="95"/>
      <c r="T33" s="95" t="s">
        <v>9</v>
      </c>
      <c r="U33" s="106"/>
      <c r="V33" s="104" t="s">
        <v>8</v>
      </c>
      <c r="W33" s="95"/>
      <c r="X33" s="87"/>
      <c r="Y33" s="95" t="s">
        <v>9</v>
      </c>
      <c r="Z33" s="87"/>
      <c r="AA33" s="149" t="s">
        <v>8</v>
      </c>
      <c r="AB33" s="151"/>
      <c r="AC33" s="106"/>
      <c r="AD33" s="108" t="s">
        <v>9</v>
      </c>
      <c r="AE33" s="87"/>
      <c r="AF33" s="149" t="s">
        <v>8</v>
      </c>
      <c r="AG33" s="152"/>
      <c r="AH33" s="87"/>
      <c r="AI33" s="106"/>
      <c r="AJ33" s="151" t="s">
        <v>8</v>
      </c>
      <c r="AK33" s="87"/>
      <c r="AL33" s="107" t="s">
        <v>9</v>
      </c>
      <c r="AM33" s="212">
        <f t="shared" si="4"/>
        <v>156</v>
      </c>
    </row>
    <row r="34" spans="1:39" s="60" customFormat="1" ht="18" customHeight="1" x14ac:dyDescent="0.25">
      <c r="A34" s="161">
        <v>1135</v>
      </c>
      <c r="B34" s="161"/>
      <c r="C34" s="156" t="s">
        <v>92</v>
      </c>
      <c r="D34" s="157" t="s">
        <v>18</v>
      </c>
      <c r="E34" s="76" t="s">
        <v>19</v>
      </c>
      <c r="F34" s="78">
        <v>36</v>
      </c>
      <c r="G34" s="91">
        <f t="array" ref="G34">SUMPRODUCT((H34:AL34="SD")+(H34:AL34="SN")+(H34:AL34="MT")+(H34:AL34="8H")+(H34:AL34="N")+(H34:AL34="M")+(H34:AL34="T")+(H34:AL34="AE")+(H34:AL34="AB")+(H34:AL34="AA")+(H34:AL34="FC"))</f>
        <v>13</v>
      </c>
      <c r="H34" s="151" t="s">
        <v>8</v>
      </c>
      <c r="I34" s="95"/>
      <c r="J34" s="87"/>
      <c r="K34" s="95" t="s">
        <v>9</v>
      </c>
      <c r="L34" s="87"/>
      <c r="M34" s="87" t="s">
        <v>9</v>
      </c>
      <c r="N34" s="106"/>
      <c r="O34" s="105" t="s">
        <v>9</v>
      </c>
      <c r="P34" s="95"/>
      <c r="Q34" s="149" t="s">
        <v>8</v>
      </c>
      <c r="R34" s="95"/>
      <c r="S34" s="95"/>
      <c r="T34" s="95" t="s">
        <v>9</v>
      </c>
      <c r="U34" s="106"/>
      <c r="V34" s="104" t="s">
        <v>8</v>
      </c>
      <c r="W34" s="95"/>
      <c r="X34" s="90"/>
      <c r="Y34" s="95" t="s">
        <v>9</v>
      </c>
      <c r="Z34" s="87"/>
      <c r="AA34" s="149" t="s">
        <v>8</v>
      </c>
      <c r="AB34" s="105"/>
      <c r="AC34" s="151"/>
      <c r="AD34" s="108" t="s">
        <v>9</v>
      </c>
      <c r="AE34" s="87"/>
      <c r="AF34" s="149" t="s">
        <v>8</v>
      </c>
      <c r="AG34" s="61"/>
      <c r="AH34" s="152"/>
      <c r="AI34" s="151"/>
      <c r="AJ34" s="151" t="s">
        <v>8</v>
      </c>
      <c r="AL34" s="107" t="s">
        <v>9</v>
      </c>
      <c r="AM34" s="212">
        <f t="shared" si="4"/>
        <v>156</v>
      </c>
    </row>
    <row r="35" spans="1:39" s="60" customFormat="1" ht="18" customHeight="1" x14ac:dyDescent="0.25">
      <c r="A35" s="161"/>
      <c r="B35" s="161"/>
      <c r="C35" s="258" t="s">
        <v>108</v>
      </c>
      <c r="D35" s="157" t="s">
        <v>18</v>
      </c>
      <c r="E35" s="76" t="s">
        <v>19</v>
      </c>
      <c r="F35" s="78">
        <v>36</v>
      </c>
      <c r="G35" s="91">
        <v>13</v>
      </c>
      <c r="H35" s="151"/>
      <c r="I35" s="95"/>
      <c r="J35" s="87"/>
      <c r="K35" s="95" t="s">
        <v>9</v>
      </c>
      <c r="L35" s="87"/>
      <c r="M35" s="87"/>
      <c r="N35" s="106"/>
      <c r="O35" s="105" t="s">
        <v>9</v>
      </c>
      <c r="P35" s="95"/>
      <c r="Q35" s="149"/>
      <c r="R35" s="95" t="s">
        <v>9</v>
      </c>
      <c r="S35" s="95" t="s">
        <v>9</v>
      </c>
      <c r="T35" s="95"/>
      <c r="U35" s="106"/>
      <c r="V35" s="104"/>
      <c r="W35" s="95" t="s">
        <v>9</v>
      </c>
      <c r="X35" s="87" t="s">
        <v>9</v>
      </c>
      <c r="Y35" s="95"/>
      <c r="Z35" s="90" t="s">
        <v>8</v>
      </c>
      <c r="AA35" s="149"/>
      <c r="AB35" s="105"/>
      <c r="AC35" s="106" t="s">
        <v>9</v>
      </c>
      <c r="AD35" s="108" t="s">
        <v>9</v>
      </c>
      <c r="AE35" s="87"/>
      <c r="AF35" s="108" t="s">
        <v>9</v>
      </c>
      <c r="AG35" s="152" t="s">
        <v>8</v>
      </c>
      <c r="AH35" s="152"/>
      <c r="AI35" s="151"/>
      <c r="AJ35" s="233" t="s">
        <v>117</v>
      </c>
      <c r="AK35" s="152"/>
      <c r="AL35" s="107" t="s">
        <v>9</v>
      </c>
      <c r="AM35" s="212">
        <v>156</v>
      </c>
    </row>
    <row r="36" spans="1:39" s="60" customFormat="1" ht="18" customHeight="1" x14ac:dyDescent="0.25">
      <c r="A36" s="161"/>
      <c r="B36" s="161"/>
      <c r="C36" s="258" t="s">
        <v>109</v>
      </c>
      <c r="D36" s="157" t="s">
        <v>18</v>
      </c>
      <c r="E36" s="76" t="s">
        <v>19</v>
      </c>
      <c r="F36" s="78">
        <v>36</v>
      </c>
      <c r="G36" s="91">
        <v>13</v>
      </c>
      <c r="H36" s="106" t="s">
        <v>9</v>
      </c>
      <c r="I36" s="95"/>
      <c r="J36" s="87" t="s">
        <v>9</v>
      </c>
      <c r="K36" s="95"/>
      <c r="L36" s="87" t="s">
        <v>9</v>
      </c>
      <c r="M36" s="87"/>
      <c r="N36" s="106"/>
      <c r="O36" s="105"/>
      <c r="P36" s="95"/>
      <c r="Q36" s="108" t="s">
        <v>9</v>
      </c>
      <c r="R36" s="95"/>
      <c r="S36" s="95" t="s">
        <v>9</v>
      </c>
      <c r="T36" s="95"/>
      <c r="U36" s="106" t="s">
        <v>9</v>
      </c>
      <c r="V36" s="104"/>
      <c r="W36" s="95" t="s">
        <v>9</v>
      </c>
      <c r="X36" s="90"/>
      <c r="Y36" s="95" t="s">
        <v>9</v>
      </c>
      <c r="Z36" s="87"/>
      <c r="AA36" s="108" t="s">
        <v>9</v>
      </c>
      <c r="AB36" s="105" t="s">
        <v>9</v>
      </c>
      <c r="AC36" s="106"/>
      <c r="AD36" s="108"/>
      <c r="AE36" s="87" t="s">
        <v>9</v>
      </c>
      <c r="AF36" s="149"/>
      <c r="AG36" s="61" t="s">
        <v>9</v>
      </c>
      <c r="AI36" s="234"/>
      <c r="AJ36" s="151" t="s">
        <v>8</v>
      </c>
      <c r="AK36" s="152"/>
      <c r="AL36" s="107"/>
      <c r="AM36" s="212">
        <v>156</v>
      </c>
    </row>
    <row r="37" spans="1:39" s="60" customFormat="1" ht="18" customHeight="1" x14ac:dyDescent="0.25">
      <c r="A37" s="161"/>
      <c r="B37" s="161"/>
      <c r="C37" s="258" t="s">
        <v>110</v>
      </c>
      <c r="D37" s="157" t="s">
        <v>18</v>
      </c>
      <c r="E37" s="76" t="s">
        <v>19</v>
      </c>
      <c r="F37" s="78">
        <v>36</v>
      </c>
      <c r="G37" s="91">
        <v>13</v>
      </c>
      <c r="H37" s="106" t="s">
        <v>9</v>
      </c>
      <c r="I37" s="95"/>
      <c r="J37" s="87" t="s">
        <v>9</v>
      </c>
      <c r="K37" s="95"/>
      <c r="L37" s="87"/>
      <c r="M37" s="87"/>
      <c r="N37" s="106" t="s">
        <v>9</v>
      </c>
      <c r="O37" s="105"/>
      <c r="P37" s="95" t="s">
        <v>9</v>
      </c>
      <c r="Q37" s="149"/>
      <c r="R37" s="95" t="s">
        <v>9</v>
      </c>
      <c r="S37" s="95"/>
      <c r="T37" s="95" t="s">
        <v>9</v>
      </c>
      <c r="U37" s="106"/>
      <c r="V37" s="103"/>
      <c r="W37" s="95" t="s">
        <v>9</v>
      </c>
      <c r="X37" s="90"/>
      <c r="Y37" s="95" t="s">
        <v>9</v>
      </c>
      <c r="Z37" s="87"/>
      <c r="AA37" s="149"/>
      <c r="AB37" s="105" t="s">
        <v>9</v>
      </c>
      <c r="AC37" s="151"/>
      <c r="AD37" s="108" t="s">
        <v>9</v>
      </c>
      <c r="AE37" s="87"/>
      <c r="AF37" s="149"/>
      <c r="AG37" s="61" t="s">
        <v>9</v>
      </c>
      <c r="AH37" s="61" t="s">
        <v>9</v>
      </c>
      <c r="AI37" s="151"/>
      <c r="AJ37" s="151" t="s">
        <v>8</v>
      </c>
      <c r="AK37" s="152"/>
      <c r="AL37" s="107"/>
      <c r="AM37" s="212">
        <v>156</v>
      </c>
    </row>
    <row r="38" spans="1:39" s="60" customFormat="1" ht="18" customHeight="1" x14ac:dyDescent="0.25">
      <c r="A38" s="161"/>
      <c r="B38" s="161"/>
      <c r="C38" s="258" t="s">
        <v>111</v>
      </c>
      <c r="D38" s="157" t="s">
        <v>18</v>
      </c>
      <c r="E38" s="76" t="s">
        <v>19</v>
      </c>
      <c r="F38" s="78">
        <v>36</v>
      </c>
      <c r="G38" s="91">
        <v>13</v>
      </c>
      <c r="H38" s="106" t="s">
        <v>9</v>
      </c>
      <c r="I38" s="95"/>
      <c r="J38" s="87" t="s">
        <v>9</v>
      </c>
      <c r="K38" s="95"/>
      <c r="L38" s="87" t="s">
        <v>9</v>
      </c>
      <c r="M38" s="87"/>
      <c r="N38" s="106" t="s">
        <v>9</v>
      </c>
      <c r="O38" s="105"/>
      <c r="P38" s="95" t="s">
        <v>9</v>
      </c>
      <c r="Q38" s="149" t="s">
        <v>8</v>
      </c>
      <c r="R38" s="95"/>
      <c r="S38" s="95"/>
      <c r="T38" s="95" t="s">
        <v>9</v>
      </c>
      <c r="U38" s="106"/>
      <c r="V38" s="104"/>
      <c r="W38" s="90" t="s">
        <v>8</v>
      </c>
      <c r="X38" s="90"/>
      <c r="Y38" s="95"/>
      <c r="Z38" s="87" t="s">
        <v>9</v>
      </c>
      <c r="AA38" s="149"/>
      <c r="AB38" s="151" t="s">
        <v>8</v>
      </c>
      <c r="AC38" s="106"/>
      <c r="AD38" s="108"/>
      <c r="AE38" s="87" t="s">
        <v>9</v>
      </c>
      <c r="AF38" s="149"/>
      <c r="AG38" s="152" t="s">
        <v>8</v>
      </c>
      <c r="AH38" s="152"/>
      <c r="AI38" s="151"/>
      <c r="AJ38" s="151" t="s">
        <v>8</v>
      </c>
      <c r="AK38" s="152"/>
      <c r="AL38" s="107"/>
      <c r="AM38" s="212">
        <v>156</v>
      </c>
    </row>
    <row r="39" spans="1:39" s="60" customFormat="1" ht="18" customHeight="1" x14ac:dyDescent="0.25">
      <c r="A39" s="161"/>
      <c r="B39" s="161"/>
      <c r="C39" s="258" t="s">
        <v>126</v>
      </c>
      <c r="D39" s="157" t="s">
        <v>18</v>
      </c>
      <c r="E39" s="76" t="s">
        <v>19</v>
      </c>
      <c r="F39" s="78">
        <v>36</v>
      </c>
      <c r="G39" s="91">
        <v>13</v>
      </c>
      <c r="H39" s="106"/>
      <c r="I39" s="90" t="s">
        <v>8</v>
      </c>
      <c r="J39" s="87"/>
      <c r="K39" s="95" t="s">
        <v>9</v>
      </c>
      <c r="L39" s="87"/>
      <c r="M39" s="90" t="s">
        <v>8</v>
      </c>
      <c r="N39" s="106"/>
      <c r="O39" s="105"/>
      <c r="P39" s="95"/>
      <c r="Q39" s="149" t="s">
        <v>8</v>
      </c>
      <c r="R39" s="95"/>
      <c r="S39" s="95" t="s">
        <v>9</v>
      </c>
      <c r="T39" s="90" t="s">
        <v>8</v>
      </c>
      <c r="U39" s="106"/>
      <c r="V39" s="104"/>
      <c r="W39" s="90" t="s">
        <v>8</v>
      </c>
      <c r="X39" s="90"/>
      <c r="Y39" s="95"/>
      <c r="Z39" s="87" t="s">
        <v>9</v>
      </c>
      <c r="AA39" s="149"/>
      <c r="AB39" s="151" t="s">
        <v>8</v>
      </c>
      <c r="AC39" s="106"/>
      <c r="AD39" s="108"/>
      <c r="AE39" s="87" t="s">
        <v>9</v>
      </c>
      <c r="AF39" s="231" t="s">
        <v>9</v>
      </c>
      <c r="AG39" s="152"/>
      <c r="AH39" s="152" t="s">
        <v>8</v>
      </c>
      <c r="AI39" s="151"/>
      <c r="AJ39" s="151"/>
      <c r="AK39" s="277" t="s">
        <v>8</v>
      </c>
      <c r="AL39" s="107"/>
      <c r="AM39" s="212">
        <v>156</v>
      </c>
    </row>
    <row r="40" spans="1:39" s="60" customFormat="1" ht="18" customHeight="1" x14ac:dyDescent="0.25">
      <c r="A40" s="161"/>
      <c r="B40" s="161"/>
      <c r="C40" s="258" t="s">
        <v>125</v>
      </c>
      <c r="D40" s="157" t="s">
        <v>18</v>
      </c>
      <c r="E40" s="76" t="s">
        <v>19</v>
      </c>
      <c r="F40" s="78">
        <v>36</v>
      </c>
      <c r="G40" s="91">
        <v>13</v>
      </c>
      <c r="H40" s="278" t="s">
        <v>8</v>
      </c>
      <c r="I40" s="95"/>
      <c r="J40" s="90"/>
      <c r="K40" s="90" t="s">
        <v>8</v>
      </c>
      <c r="L40" s="90"/>
      <c r="M40" s="87"/>
      <c r="N40" s="106" t="s">
        <v>9</v>
      </c>
      <c r="O40" s="105"/>
      <c r="P40" s="90" t="s">
        <v>8</v>
      </c>
      <c r="Q40" s="149"/>
      <c r="R40" s="95"/>
      <c r="S40" s="90" t="s">
        <v>8</v>
      </c>
      <c r="T40" s="95"/>
      <c r="U40" s="106"/>
      <c r="V40" s="270" t="s">
        <v>9</v>
      </c>
      <c r="W40" s="90"/>
      <c r="X40" s="90" t="s">
        <v>8</v>
      </c>
      <c r="Y40" s="95"/>
      <c r="Z40" s="87"/>
      <c r="AA40" s="149" t="s">
        <v>8</v>
      </c>
      <c r="AB40" s="151"/>
      <c r="AC40" s="106" t="s">
        <v>9</v>
      </c>
      <c r="AD40" s="108"/>
      <c r="AE40" s="87"/>
      <c r="AF40" s="149" t="s">
        <v>8</v>
      </c>
      <c r="AG40" s="152"/>
      <c r="AH40" s="262" t="s">
        <v>9</v>
      </c>
      <c r="AI40" s="271" t="s">
        <v>9</v>
      </c>
      <c r="AJ40" s="151"/>
      <c r="AK40" s="277" t="s">
        <v>8</v>
      </c>
      <c r="AL40" s="107"/>
      <c r="AM40" s="212">
        <v>156</v>
      </c>
    </row>
    <row r="41" spans="1:39" s="60" customFormat="1" ht="18" customHeight="1" x14ac:dyDescent="0.25">
      <c r="A41" s="161"/>
      <c r="B41" s="161"/>
      <c r="C41" s="461" t="s">
        <v>133</v>
      </c>
      <c r="D41" s="157" t="s">
        <v>18</v>
      </c>
      <c r="E41" s="76" t="s">
        <v>19</v>
      </c>
      <c r="F41" s="78">
        <v>36</v>
      </c>
      <c r="G41" s="91"/>
      <c r="H41" s="278"/>
      <c r="I41" s="95"/>
      <c r="J41" s="90"/>
      <c r="K41" s="90"/>
      <c r="L41" s="90"/>
      <c r="M41" s="87"/>
      <c r="N41" s="106"/>
      <c r="O41" s="105"/>
      <c r="P41" s="90"/>
      <c r="Q41" s="149"/>
      <c r="R41" s="95"/>
      <c r="S41" s="90"/>
      <c r="T41" s="95"/>
      <c r="U41" s="106"/>
      <c r="V41" s="270"/>
      <c r="W41" s="90"/>
      <c r="X41" s="90"/>
      <c r="Y41" s="95"/>
      <c r="Z41" s="87"/>
      <c r="AA41" s="149"/>
      <c r="AB41" s="151"/>
      <c r="AC41" s="106"/>
      <c r="AD41" s="108"/>
      <c r="AE41" s="87"/>
      <c r="AF41" s="218" t="s">
        <v>9</v>
      </c>
      <c r="AG41" s="152"/>
      <c r="AH41" s="352" t="s">
        <v>8</v>
      </c>
      <c r="AI41" s="271"/>
      <c r="AJ41" s="351" t="s">
        <v>9</v>
      </c>
      <c r="AK41" s="277"/>
      <c r="AL41" s="107"/>
      <c r="AM41" s="212"/>
    </row>
    <row r="42" spans="1:39" s="60" customFormat="1" ht="24.75" customHeight="1" x14ac:dyDescent="0.25">
      <c r="A42" s="161">
        <v>12348</v>
      </c>
      <c r="B42" s="161">
        <v>1419110</v>
      </c>
      <c r="C42" s="156" t="s">
        <v>95</v>
      </c>
      <c r="D42" s="157" t="s">
        <v>18</v>
      </c>
      <c r="E42" s="76" t="s">
        <v>19</v>
      </c>
      <c r="F42" s="78">
        <v>36</v>
      </c>
      <c r="G42" s="91">
        <f t="array" ref="G42">SUMPRODUCT((H42:AL42="SD")+(H42:AL42="SN")+(H42:AL42="MT")+(H42:AL42="8H")+(H42:AL42="N")+(H42:AL42="M")+(H42:AL42="T")+(H42:AL42="AE")+(H42:AL42="AB")+(H42:AL42="AA")+(H42:AL42="FC"))</f>
        <v>13</v>
      </c>
      <c r="H42" s="151" t="s">
        <v>8</v>
      </c>
      <c r="I42" s="95"/>
      <c r="J42" s="87"/>
      <c r="K42" s="95"/>
      <c r="L42" s="90" t="s">
        <v>8</v>
      </c>
      <c r="M42" s="87"/>
      <c r="N42" s="106"/>
      <c r="O42" s="105" t="s">
        <v>9</v>
      </c>
      <c r="P42" s="95"/>
      <c r="Q42" s="149" t="s">
        <v>8</v>
      </c>
      <c r="R42" s="95"/>
      <c r="S42" s="95" t="s">
        <v>9</v>
      </c>
      <c r="T42" s="95" t="s">
        <v>9</v>
      </c>
      <c r="U42" s="106"/>
      <c r="V42" s="103" t="s">
        <v>9</v>
      </c>
      <c r="W42" s="95"/>
      <c r="X42" s="90"/>
      <c r="Y42" s="95" t="s">
        <v>9</v>
      </c>
      <c r="Z42" s="87"/>
      <c r="AA42" s="149" t="s">
        <v>8</v>
      </c>
      <c r="AB42" s="151"/>
      <c r="AC42" s="151"/>
      <c r="AD42" s="95" t="s">
        <v>9</v>
      </c>
      <c r="AE42" s="87"/>
      <c r="AF42" s="149" t="s">
        <v>8</v>
      </c>
      <c r="AG42" s="152"/>
      <c r="AH42" s="61" t="s">
        <v>9</v>
      </c>
      <c r="AI42" s="151"/>
      <c r="AJ42" s="151"/>
      <c r="AK42" s="232" t="s">
        <v>9</v>
      </c>
      <c r="AL42" s="95"/>
      <c r="AM42" s="212">
        <f>SUMPRODUCT((H42:AL42="SD")*12 + (H42:AL42="SN")*12 + (H42:AL42="MT")*8 + (H42:AL42="M")*6 + (H42:AL42="T")*6)</f>
        <v>156</v>
      </c>
    </row>
    <row r="43" spans="1:39" ht="38.25" customHeight="1" x14ac:dyDescent="0.25">
      <c r="A43" s="163"/>
      <c r="B43" s="163"/>
      <c r="C43" s="556" t="s">
        <v>0</v>
      </c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 t="s">
        <v>86</v>
      </c>
      <c r="P43" s="557"/>
      <c r="Q43" s="557"/>
      <c r="R43" s="557"/>
      <c r="S43" s="557"/>
      <c r="T43" s="557"/>
      <c r="U43" s="557"/>
      <c r="V43" s="557"/>
      <c r="W43" s="557"/>
      <c r="X43" s="557"/>
      <c r="Y43" s="557"/>
      <c r="Z43" s="557"/>
      <c r="AA43" s="557"/>
      <c r="AB43" s="557"/>
      <c r="AC43" s="557"/>
      <c r="AD43" s="557"/>
      <c r="AE43" s="557"/>
      <c r="AF43" s="557"/>
      <c r="AG43" s="557"/>
      <c r="AH43" s="557"/>
      <c r="AI43" s="557"/>
      <c r="AJ43" s="557"/>
      <c r="AK43" s="557"/>
      <c r="AL43" s="557"/>
      <c r="AM43" s="558"/>
    </row>
    <row r="44" spans="1:39" x14ac:dyDescent="0.25">
      <c r="A44" s="581" t="s">
        <v>103</v>
      </c>
      <c r="B44" s="581"/>
      <c r="C44" s="582"/>
      <c r="D44" s="582"/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  <c r="AH44" s="582"/>
      <c r="AI44" s="582"/>
      <c r="AJ44" s="582"/>
      <c r="AK44" s="582"/>
      <c r="AL44" s="582"/>
      <c r="AM44" s="582"/>
    </row>
    <row r="45" spans="1:39" x14ac:dyDescent="0.25">
      <c r="A45" s="582"/>
      <c r="B45" s="582"/>
      <c r="C45" s="582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</row>
    <row r="46" spans="1:39" x14ac:dyDescent="0.25">
      <c r="A46" s="582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2"/>
      <c r="Q46" s="582"/>
      <c r="R46" s="582"/>
      <c r="S46" s="582"/>
      <c r="T46" s="582"/>
      <c r="U46" s="582"/>
      <c r="V46" s="582"/>
      <c r="W46" s="582"/>
      <c r="X46" s="582"/>
      <c r="Y46" s="582"/>
      <c r="Z46" s="582"/>
      <c r="AA46" s="582"/>
      <c r="AB46" s="582"/>
      <c r="AC46" s="582"/>
      <c r="AD46" s="582"/>
      <c r="AE46" s="582"/>
      <c r="AF46" s="582"/>
      <c r="AG46" s="582"/>
      <c r="AH46" s="582"/>
      <c r="AI46" s="582"/>
      <c r="AJ46" s="582"/>
      <c r="AK46" s="582"/>
      <c r="AL46" s="582"/>
      <c r="AM46" s="582"/>
    </row>
  </sheetData>
  <mergeCells count="10">
    <mergeCell ref="C43:N43"/>
    <mergeCell ref="O43:AM43"/>
    <mergeCell ref="A44:AM46"/>
    <mergeCell ref="D1:AH1"/>
    <mergeCell ref="AL1:AM1"/>
    <mergeCell ref="A2:A3"/>
    <mergeCell ref="C2:F3"/>
    <mergeCell ref="H2:K2"/>
    <mergeCell ref="L2:P2"/>
    <mergeCell ref="Q2:AL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294D-3DCC-4792-87EB-CB96AA8A35FC}">
  <dimension ref="A1:AN40"/>
  <sheetViews>
    <sheetView topLeftCell="A9" zoomScale="68" zoomScaleNormal="68" workbookViewId="0">
      <selection activeCell="D14" sqref="D14"/>
    </sheetView>
  </sheetViews>
  <sheetFormatPr defaultRowHeight="13.2" x14ac:dyDescent="0.25"/>
  <cols>
    <col min="1" max="1" width="12.21875" customWidth="1"/>
    <col min="2" max="2" width="13.44140625" customWidth="1"/>
    <col min="3" max="3" width="33" bestFit="1" customWidth="1"/>
    <col min="4" max="4" width="27.44140625" bestFit="1" customWidth="1"/>
    <col min="5" max="5" width="11.109375" bestFit="1" customWidth="1"/>
    <col min="6" max="6" width="5.109375" bestFit="1" customWidth="1"/>
    <col min="7" max="7" width="11" bestFit="1" customWidth="1"/>
    <col min="8" max="8" width="7.33203125" bestFit="1" customWidth="1"/>
    <col min="9" max="10" width="6.44140625" bestFit="1" customWidth="1"/>
    <col min="11" max="11" width="6.6640625" bestFit="1" customWidth="1"/>
    <col min="12" max="12" width="5.6640625" bestFit="1" customWidth="1"/>
    <col min="13" max="13" width="6.109375" bestFit="1" customWidth="1"/>
    <col min="14" max="14" width="6.44140625" bestFit="1" customWidth="1"/>
    <col min="15" max="15" width="7.33203125" bestFit="1" customWidth="1"/>
    <col min="16" max="17" width="6.44140625" bestFit="1" customWidth="1"/>
    <col min="18" max="18" width="6.6640625" bestFit="1" customWidth="1"/>
    <col min="19" max="19" width="6" bestFit="1" customWidth="1"/>
    <col min="20" max="20" width="6.109375" bestFit="1" customWidth="1"/>
    <col min="21" max="21" width="6.44140625" bestFit="1" customWidth="1"/>
    <col min="22" max="22" width="7.33203125" bestFit="1" customWidth="1"/>
    <col min="23" max="24" width="6.44140625" bestFit="1" customWidth="1"/>
    <col min="25" max="25" width="6.6640625" bestFit="1" customWidth="1"/>
    <col min="26" max="26" width="8.6640625" bestFit="1" customWidth="1"/>
    <col min="27" max="28" width="6.44140625" bestFit="1" customWidth="1"/>
    <col min="29" max="29" width="7.33203125" bestFit="1" customWidth="1"/>
    <col min="30" max="31" width="6.44140625" bestFit="1" customWidth="1"/>
    <col min="32" max="32" width="6.6640625" bestFit="1" customWidth="1"/>
    <col min="33" max="33" width="6.44140625" bestFit="1" customWidth="1"/>
    <col min="34" max="37" width="6.33203125" customWidth="1"/>
    <col min="38" max="38" width="6.44140625" bestFit="1" customWidth="1"/>
    <col min="39" max="39" width="12.77734375" customWidth="1"/>
  </cols>
  <sheetData>
    <row r="1" spans="1:40" ht="65.25" customHeight="1" x14ac:dyDescent="0.25">
      <c r="A1" s="536"/>
      <c r="B1" s="536"/>
      <c r="C1" s="537"/>
      <c r="D1" s="594" t="s">
        <v>63</v>
      </c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6"/>
      <c r="AI1" s="230"/>
      <c r="AJ1" s="230"/>
      <c r="AK1" s="230"/>
      <c r="AL1" s="594" t="s">
        <v>129</v>
      </c>
      <c r="AM1" s="597"/>
    </row>
    <row r="2" spans="1:40" x14ac:dyDescent="0.25">
      <c r="A2" s="544" t="s">
        <v>122</v>
      </c>
      <c r="B2" s="254"/>
      <c r="C2" s="546" t="s">
        <v>121</v>
      </c>
      <c r="D2" s="547"/>
      <c r="E2" s="547"/>
      <c r="F2" s="548"/>
      <c r="G2" s="12"/>
      <c r="H2" s="600" t="s">
        <v>3</v>
      </c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  <c r="AJ2" s="601"/>
      <c r="AK2" s="601"/>
      <c r="AL2" s="601"/>
      <c r="AM2" s="602"/>
    </row>
    <row r="3" spans="1:40" ht="21.75" customHeight="1" x14ac:dyDescent="0.25">
      <c r="A3" s="599"/>
      <c r="B3" s="255" t="s">
        <v>120</v>
      </c>
      <c r="C3" s="549"/>
      <c r="D3" s="550"/>
      <c r="E3" s="550"/>
      <c r="F3" s="550"/>
      <c r="G3" s="20"/>
      <c r="H3" s="13" t="str">
        <f>UPPER(TEXT(H4,"ddd"))</f>
        <v>DOM</v>
      </c>
      <c r="I3" s="13" t="str">
        <f t="shared" ref="I3:AH3" si="0">UPPER(TEXT(I4,"ddd"))</f>
        <v>SEG</v>
      </c>
      <c r="J3" s="13" t="str">
        <f t="shared" si="0"/>
        <v>TER</v>
      </c>
      <c r="K3" s="13" t="str">
        <f t="shared" si="0"/>
        <v>QUA</v>
      </c>
      <c r="L3" s="13" t="str">
        <f t="shared" si="0"/>
        <v>QUI</v>
      </c>
      <c r="M3" s="13" t="str">
        <f t="shared" si="0"/>
        <v>SEX</v>
      </c>
      <c r="N3" s="13" t="str">
        <f t="shared" si="0"/>
        <v>SÁB</v>
      </c>
      <c r="O3" s="13" t="str">
        <f t="shared" si="0"/>
        <v>DOM</v>
      </c>
      <c r="P3" s="13" t="str">
        <f t="shared" si="0"/>
        <v>SEG</v>
      </c>
      <c r="Q3" s="13" t="str">
        <f t="shared" si="0"/>
        <v>TER</v>
      </c>
      <c r="R3" s="13" t="str">
        <f t="shared" si="0"/>
        <v>QUA</v>
      </c>
      <c r="S3" s="13" t="str">
        <f t="shared" si="0"/>
        <v>QUI</v>
      </c>
      <c r="T3" s="13" t="str">
        <f t="shared" si="0"/>
        <v>SEX</v>
      </c>
      <c r="U3" s="13" t="str">
        <f t="shared" si="0"/>
        <v>SÁB</v>
      </c>
      <c r="V3" s="13" t="str">
        <f t="shared" si="0"/>
        <v>DOM</v>
      </c>
      <c r="W3" s="13" t="str">
        <f t="shared" si="0"/>
        <v>SEG</v>
      </c>
      <c r="X3" s="13" t="str">
        <f t="shared" si="0"/>
        <v>TER</v>
      </c>
      <c r="Y3" s="13" t="str">
        <f t="shared" si="0"/>
        <v>QUA</v>
      </c>
      <c r="Z3" s="13" t="str">
        <f t="shared" si="0"/>
        <v>QUI</v>
      </c>
      <c r="AA3" s="13" t="str">
        <f t="shared" si="0"/>
        <v>SEX</v>
      </c>
      <c r="AB3" s="13" t="str">
        <f t="shared" si="0"/>
        <v>SÁB</v>
      </c>
      <c r="AC3" s="13" t="str">
        <f t="shared" si="0"/>
        <v>DOM</v>
      </c>
      <c r="AD3" s="13" t="str">
        <f t="shared" si="0"/>
        <v>SEG</v>
      </c>
      <c r="AE3" s="13" t="str">
        <f t="shared" si="0"/>
        <v>TER</v>
      </c>
      <c r="AF3" s="13" t="str">
        <f t="shared" si="0"/>
        <v>QUA</v>
      </c>
      <c r="AG3" s="13" t="str">
        <f t="shared" si="0"/>
        <v>QUI</v>
      </c>
      <c r="AH3" s="13" t="str">
        <f t="shared" si="0"/>
        <v>SEX</v>
      </c>
      <c r="AI3" s="13" t="s">
        <v>114</v>
      </c>
      <c r="AJ3" s="13" t="s">
        <v>115</v>
      </c>
      <c r="AK3" s="13" t="s">
        <v>116</v>
      </c>
      <c r="AL3" s="13" t="s">
        <v>119</v>
      </c>
      <c r="AM3" s="14" t="s">
        <v>16</v>
      </c>
    </row>
    <row r="4" spans="1:40" ht="17.25" customHeight="1" x14ac:dyDescent="0.25">
      <c r="A4" s="22"/>
      <c r="B4" s="22"/>
      <c r="C4" s="22" t="s">
        <v>41</v>
      </c>
      <c r="D4" s="22" t="s">
        <v>4</v>
      </c>
      <c r="E4" s="22" t="s">
        <v>5</v>
      </c>
      <c r="F4" s="22" t="s">
        <v>6</v>
      </c>
      <c r="G4" s="24" t="s">
        <v>11</v>
      </c>
      <c r="H4" s="17">
        <v>46082</v>
      </c>
      <c r="I4" s="15">
        <f>H4+1</f>
        <v>46083</v>
      </c>
      <c r="J4" s="15">
        <f t="shared" ref="J4:AH4" si="1">I4+1</f>
        <v>46084</v>
      </c>
      <c r="K4" s="15">
        <f t="shared" si="1"/>
        <v>46085</v>
      </c>
      <c r="L4" s="15">
        <f t="shared" si="1"/>
        <v>46086</v>
      </c>
      <c r="M4" s="15">
        <f t="shared" si="1"/>
        <v>46087</v>
      </c>
      <c r="N4" s="15">
        <f t="shared" si="1"/>
        <v>46088</v>
      </c>
      <c r="O4" s="15">
        <f t="shared" si="1"/>
        <v>46089</v>
      </c>
      <c r="P4" s="15">
        <f t="shared" si="1"/>
        <v>46090</v>
      </c>
      <c r="Q4" s="15">
        <f t="shared" si="1"/>
        <v>46091</v>
      </c>
      <c r="R4" s="15">
        <f t="shared" si="1"/>
        <v>46092</v>
      </c>
      <c r="S4" s="15">
        <f t="shared" si="1"/>
        <v>46093</v>
      </c>
      <c r="T4" s="15">
        <f t="shared" si="1"/>
        <v>46094</v>
      </c>
      <c r="U4" s="15">
        <f t="shared" si="1"/>
        <v>46095</v>
      </c>
      <c r="V4" s="15">
        <f t="shared" si="1"/>
        <v>46096</v>
      </c>
      <c r="W4" s="15">
        <f t="shared" si="1"/>
        <v>46097</v>
      </c>
      <c r="X4" s="15">
        <f t="shared" si="1"/>
        <v>46098</v>
      </c>
      <c r="Y4" s="15">
        <f t="shared" si="1"/>
        <v>46099</v>
      </c>
      <c r="Z4" s="15">
        <f t="shared" si="1"/>
        <v>46100</v>
      </c>
      <c r="AA4" s="15">
        <f t="shared" si="1"/>
        <v>46101</v>
      </c>
      <c r="AB4" s="15">
        <f t="shared" si="1"/>
        <v>46102</v>
      </c>
      <c r="AC4" s="15">
        <f t="shared" si="1"/>
        <v>46103</v>
      </c>
      <c r="AD4" s="15">
        <f t="shared" si="1"/>
        <v>46104</v>
      </c>
      <c r="AE4" s="15">
        <f t="shared" si="1"/>
        <v>46105</v>
      </c>
      <c r="AF4" s="15">
        <f t="shared" si="1"/>
        <v>46106</v>
      </c>
      <c r="AG4" s="15">
        <f t="shared" si="1"/>
        <v>46107</v>
      </c>
      <c r="AH4" s="15">
        <f t="shared" si="1"/>
        <v>46108</v>
      </c>
      <c r="AI4" s="15">
        <v>46109</v>
      </c>
      <c r="AJ4" s="15">
        <v>46110</v>
      </c>
      <c r="AK4" s="15">
        <v>46111</v>
      </c>
      <c r="AL4" s="15">
        <v>46112</v>
      </c>
      <c r="AM4" s="16" t="s">
        <v>2</v>
      </c>
    </row>
    <row r="5" spans="1:40" ht="21" customHeight="1" x14ac:dyDescent="0.25">
      <c r="A5" s="53">
        <v>17875</v>
      </c>
      <c r="B5" s="53">
        <v>438793</v>
      </c>
      <c r="C5" s="268" t="s">
        <v>42</v>
      </c>
      <c r="D5" s="25" t="s">
        <v>18</v>
      </c>
      <c r="E5" s="25" t="s">
        <v>37</v>
      </c>
      <c r="F5" s="23">
        <v>36</v>
      </c>
      <c r="G5" s="168">
        <f t="shared" ref="G5:G36" si="2">SUMPRODUCT((H5:AL5="SD")+(H5:AL5="SN")+(H5:AL5="MT")+(H5:AL5="8H")+(H5:AL5="N")+(H5:AL5="M")+(H5:AL5="T")+(H5:AL5="AE")+(H5:AL5="AB")+(H5:AL5="AA")+(H5:AL5="FC"))</f>
        <v>13</v>
      </c>
      <c r="H5" s="173"/>
      <c r="I5" s="37" t="s">
        <v>8</v>
      </c>
      <c r="J5" s="33"/>
      <c r="K5" s="164"/>
      <c r="L5" s="33" t="s">
        <v>9</v>
      </c>
      <c r="M5" s="164"/>
      <c r="N5" s="174"/>
      <c r="O5" s="34" t="s">
        <v>9</v>
      </c>
      <c r="P5" s="37"/>
      <c r="Q5" s="37" t="s">
        <v>8</v>
      </c>
      <c r="R5" s="37"/>
      <c r="S5" s="37" t="s">
        <v>8</v>
      </c>
      <c r="T5" s="164"/>
      <c r="U5" s="34" t="s">
        <v>9</v>
      </c>
      <c r="V5" s="166" t="s">
        <v>8</v>
      </c>
      <c r="W5" s="37"/>
      <c r="X5" s="34"/>
      <c r="Y5" s="166" t="s">
        <v>8</v>
      </c>
      <c r="Z5" s="33"/>
      <c r="AA5" s="37" t="s">
        <v>8</v>
      </c>
      <c r="AB5" s="174"/>
      <c r="AC5" s="166"/>
      <c r="AD5" s="37" t="s">
        <v>8</v>
      </c>
      <c r="AE5" s="33"/>
      <c r="AF5" s="37" t="s">
        <v>8</v>
      </c>
      <c r="AG5" s="37"/>
      <c r="AH5" s="33"/>
      <c r="AI5" s="199" t="s">
        <v>9</v>
      </c>
      <c r="AJ5" s="199"/>
      <c r="AK5" s="244" t="s">
        <v>8</v>
      </c>
      <c r="AL5" s="201"/>
      <c r="AM5" s="5">
        <f t="shared" ref="AM5:AM36" si="3">SUMPRODUCT((H5:AL5="SD")*12 + (H5:AL5="SN")*12 + (H5:AL5="MT")*8 + (H5:AL5="M")*6 + (H5:AL5="T")*6)</f>
        <v>156</v>
      </c>
      <c r="AN5" s="235"/>
    </row>
    <row r="6" spans="1:40" ht="21" customHeight="1" x14ac:dyDescent="0.3">
      <c r="A6" s="84">
        <v>17871</v>
      </c>
      <c r="B6" s="84">
        <v>484497</v>
      </c>
      <c r="C6" s="42" t="s">
        <v>66</v>
      </c>
      <c r="D6" s="42" t="s">
        <v>18</v>
      </c>
      <c r="E6" s="42" t="s">
        <v>37</v>
      </c>
      <c r="F6" s="43">
        <v>36</v>
      </c>
      <c r="G6" s="168">
        <f t="shared" si="2"/>
        <v>13</v>
      </c>
      <c r="H6" s="165"/>
      <c r="I6" s="45"/>
      <c r="J6" s="33" t="s">
        <v>9</v>
      </c>
      <c r="K6" s="164"/>
      <c r="L6" s="37" t="s">
        <v>8</v>
      </c>
      <c r="M6" s="164"/>
      <c r="N6" s="174"/>
      <c r="O6" s="34" t="s">
        <v>9</v>
      </c>
      <c r="P6" s="37"/>
      <c r="Q6" s="37" t="s">
        <v>8</v>
      </c>
      <c r="R6" s="37"/>
      <c r="S6" s="33"/>
      <c r="T6" s="164" t="s">
        <v>9</v>
      </c>
      <c r="U6" s="166"/>
      <c r="V6" s="166" t="s">
        <v>8</v>
      </c>
      <c r="W6" s="37"/>
      <c r="X6" s="34"/>
      <c r="Y6" s="174" t="s">
        <v>9</v>
      </c>
      <c r="Z6" s="33"/>
      <c r="AA6" s="37" t="s">
        <v>8</v>
      </c>
      <c r="AB6" s="174"/>
      <c r="AC6" s="166"/>
      <c r="AD6" s="164" t="s">
        <v>9</v>
      </c>
      <c r="AE6" s="33"/>
      <c r="AF6" s="37" t="s">
        <v>8</v>
      </c>
      <c r="AG6" s="48"/>
      <c r="AH6" s="49"/>
      <c r="AI6" s="264" t="s">
        <v>9</v>
      </c>
      <c r="AJ6" s="264"/>
      <c r="AK6" s="241" t="s">
        <v>9</v>
      </c>
      <c r="AL6" s="201" t="s">
        <v>8</v>
      </c>
      <c r="AM6" s="5">
        <f t="shared" si="3"/>
        <v>156</v>
      </c>
      <c r="AN6" s="235"/>
    </row>
    <row r="7" spans="1:40" ht="21" customHeight="1" x14ac:dyDescent="0.25">
      <c r="A7" s="53">
        <v>1125</v>
      </c>
      <c r="B7" s="256"/>
      <c r="C7" s="110" t="s">
        <v>87</v>
      </c>
      <c r="D7" s="25" t="s">
        <v>18</v>
      </c>
      <c r="E7" s="25" t="s">
        <v>37</v>
      </c>
      <c r="F7" s="23">
        <v>36</v>
      </c>
      <c r="G7" s="168">
        <v>13</v>
      </c>
      <c r="H7" s="173"/>
      <c r="I7" s="41"/>
      <c r="J7" s="33" t="s">
        <v>9</v>
      </c>
      <c r="K7" s="164"/>
      <c r="L7" s="33" t="s">
        <v>9</v>
      </c>
      <c r="M7" s="164"/>
      <c r="N7" s="174"/>
      <c r="O7" s="166" t="s">
        <v>8</v>
      </c>
      <c r="P7" s="37"/>
      <c r="Q7" s="37" t="s">
        <v>8</v>
      </c>
      <c r="R7" s="37"/>
      <c r="S7" s="33"/>
      <c r="T7" s="164" t="s">
        <v>9</v>
      </c>
      <c r="U7" s="166"/>
      <c r="V7" s="166" t="s">
        <v>8</v>
      </c>
      <c r="W7" s="37"/>
      <c r="X7" s="34"/>
      <c r="Y7" s="174" t="s">
        <v>9</v>
      </c>
      <c r="Z7" s="33"/>
      <c r="AA7" s="37" t="s">
        <v>8</v>
      </c>
      <c r="AB7" s="174"/>
      <c r="AC7" s="166"/>
      <c r="AD7" s="164" t="s">
        <v>9</v>
      </c>
      <c r="AE7" s="33"/>
      <c r="AF7" s="37" t="s">
        <v>8</v>
      </c>
      <c r="AG7" s="175"/>
      <c r="AH7" s="172"/>
      <c r="AI7" s="174" t="s">
        <v>9</v>
      </c>
      <c r="AJ7" s="265"/>
      <c r="AK7" s="164" t="s">
        <v>9</v>
      </c>
      <c r="AL7" s="201" t="s">
        <v>8</v>
      </c>
      <c r="AM7" s="5">
        <v>156</v>
      </c>
      <c r="AN7" s="235"/>
    </row>
    <row r="8" spans="1:40" ht="21" customHeight="1" x14ac:dyDescent="0.25">
      <c r="A8" s="53">
        <v>17862</v>
      </c>
      <c r="B8" s="53">
        <v>1375395</v>
      </c>
      <c r="C8" s="52" t="s">
        <v>43</v>
      </c>
      <c r="D8" s="25" t="s">
        <v>18</v>
      </c>
      <c r="E8" s="25" t="s">
        <v>37</v>
      </c>
      <c r="F8" s="23">
        <v>36</v>
      </c>
      <c r="G8" s="168">
        <f t="shared" si="2"/>
        <v>13</v>
      </c>
      <c r="H8" s="167" t="s">
        <v>8</v>
      </c>
      <c r="I8" s="6"/>
      <c r="J8" s="33"/>
      <c r="K8" s="33" t="s">
        <v>9</v>
      </c>
      <c r="L8" s="164"/>
      <c r="M8" s="37" t="s">
        <v>8</v>
      </c>
      <c r="N8" s="174"/>
      <c r="O8" s="34"/>
      <c r="P8" s="164" t="s">
        <v>9</v>
      </c>
      <c r="Q8" s="37"/>
      <c r="R8" s="37" t="s">
        <v>8</v>
      </c>
      <c r="S8" s="164"/>
      <c r="T8" s="33"/>
      <c r="U8" s="174" t="s">
        <v>9</v>
      </c>
      <c r="V8" s="166"/>
      <c r="W8" s="37" t="s">
        <v>8</v>
      </c>
      <c r="X8" s="174"/>
      <c r="Y8" s="34"/>
      <c r="Z8" s="164" t="s">
        <v>9</v>
      </c>
      <c r="AA8" s="164"/>
      <c r="AB8" s="166" t="s">
        <v>8</v>
      </c>
      <c r="AC8" s="174"/>
      <c r="AD8" s="33"/>
      <c r="AE8" s="164" t="s">
        <v>9</v>
      </c>
      <c r="AF8" s="33"/>
      <c r="AG8" s="37" t="s">
        <v>8</v>
      </c>
      <c r="AH8" s="172"/>
      <c r="AI8" s="174" t="s">
        <v>9</v>
      </c>
      <c r="AJ8" s="265"/>
      <c r="AK8" s="242"/>
      <c r="AL8" s="201" t="s">
        <v>8</v>
      </c>
      <c r="AM8" s="5">
        <f t="shared" si="3"/>
        <v>156</v>
      </c>
      <c r="AN8" s="235"/>
    </row>
    <row r="9" spans="1:40" ht="21" customHeight="1" x14ac:dyDescent="0.25">
      <c r="A9" s="53">
        <v>17840</v>
      </c>
      <c r="B9" s="53"/>
      <c r="C9" s="52" t="s">
        <v>44</v>
      </c>
      <c r="D9" s="25" t="s">
        <v>18</v>
      </c>
      <c r="E9" s="25" t="s">
        <v>37</v>
      </c>
      <c r="F9" s="23">
        <v>36</v>
      </c>
      <c r="G9" s="168">
        <f t="shared" si="2"/>
        <v>13</v>
      </c>
      <c r="H9" s="167" t="s">
        <v>8</v>
      </c>
      <c r="I9" s="41"/>
      <c r="J9" s="33"/>
      <c r="K9" s="33" t="s">
        <v>9</v>
      </c>
      <c r="L9" s="33"/>
      <c r="M9" s="37" t="s">
        <v>8</v>
      </c>
      <c r="N9" s="174"/>
      <c r="O9" s="174"/>
      <c r="P9" s="164" t="s">
        <v>9</v>
      </c>
      <c r="Q9" s="37"/>
      <c r="R9" s="37" t="s">
        <v>8</v>
      </c>
      <c r="S9" s="164"/>
      <c r="T9" s="33"/>
      <c r="U9" s="174" t="s">
        <v>9</v>
      </c>
      <c r="V9" s="166"/>
      <c r="W9" s="37" t="s">
        <v>8</v>
      </c>
      <c r="X9" s="174"/>
      <c r="Y9" s="34"/>
      <c r="Z9" s="164" t="s">
        <v>9</v>
      </c>
      <c r="AA9" s="164"/>
      <c r="AB9" s="166" t="s">
        <v>8</v>
      </c>
      <c r="AC9" s="174"/>
      <c r="AD9" s="33"/>
      <c r="AE9" s="164" t="s">
        <v>9</v>
      </c>
      <c r="AF9" s="33"/>
      <c r="AG9" s="37" t="s">
        <v>8</v>
      </c>
      <c r="AH9" s="172"/>
      <c r="AI9" s="174" t="s">
        <v>9</v>
      </c>
      <c r="AJ9" s="265"/>
      <c r="AK9" s="242"/>
      <c r="AL9" s="201" t="s">
        <v>8</v>
      </c>
      <c r="AM9" s="5">
        <f t="shared" si="3"/>
        <v>156</v>
      </c>
      <c r="AN9" s="235"/>
    </row>
    <row r="10" spans="1:40" ht="21" customHeight="1" x14ac:dyDescent="0.25">
      <c r="A10" s="83">
        <v>17859</v>
      </c>
      <c r="B10" s="83">
        <v>443070</v>
      </c>
      <c r="C10" s="52" t="s">
        <v>45</v>
      </c>
      <c r="D10" s="25" t="s">
        <v>18</v>
      </c>
      <c r="E10" s="25" t="s">
        <v>37</v>
      </c>
      <c r="F10" s="23">
        <v>36</v>
      </c>
      <c r="G10" s="168">
        <f t="shared" si="2"/>
        <v>13</v>
      </c>
      <c r="H10" s="167" t="s">
        <v>8</v>
      </c>
      <c r="I10" s="41"/>
      <c r="J10" s="33"/>
      <c r="K10" s="33" t="s">
        <v>9</v>
      </c>
      <c r="L10" s="37"/>
      <c r="M10" s="37" t="s">
        <v>8</v>
      </c>
      <c r="N10" s="174"/>
      <c r="O10" s="34"/>
      <c r="P10" s="164" t="s">
        <v>9</v>
      </c>
      <c r="Q10" s="37"/>
      <c r="R10" s="33"/>
      <c r="S10" s="37" t="s">
        <v>8</v>
      </c>
      <c r="T10" s="33"/>
      <c r="U10" s="174" t="s">
        <v>9</v>
      </c>
      <c r="V10" s="166"/>
      <c r="W10" s="37" t="s">
        <v>8</v>
      </c>
      <c r="X10" s="174"/>
      <c r="Y10" s="34"/>
      <c r="Z10" s="164" t="s">
        <v>9</v>
      </c>
      <c r="AA10" s="164"/>
      <c r="AB10" s="166" t="s">
        <v>8</v>
      </c>
      <c r="AC10" s="174"/>
      <c r="AD10" s="33"/>
      <c r="AE10" s="164" t="s">
        <v>9</v>
      </c>
      <c r="AF10" s="37" t="s">
        <v>8</v>
      </c>
      <c r="AG10" s="37" t="s">
        <v>8</v>
      </c>
      <c r="AH10" s="172"/>
      <c r="AI10" s="174"/>
      <c r="AJ10" s="265"/>
      <c r="AK10" s="242"/>
      <c r="AL10" s="201" t="s">
        <v>8</v>
      </c>
      <c r="AM10" s="5">
        <f t="shared" si="3"/>
        <v>156</v>
      </c>
      <c r="AN10" s="235"/>
    </row>
    <row r="11" spans="1:40" ht="21" customHeight="1" x14ac:dyDescent="0.25">
      <c r="A11" s="85">
        <v>17869</v>
      </c>
      <c r="B11" s="85">
        <v>310962</v>
      </c>
      <c r="C11" s="52" t="s">
        <v>10</v>
      </c>
      <c r="D11" s="25" t="s">
        <v>18</v>
      </c>
      <c r="E11" s="25" t="s">
        <v>37</v>
      </c>
      <c r="F11" s="23">
        <v>36</v>
      </c>
      <c r="G11" s="168">
        <f t="shared" si="2"/>
        <v>13</v>
      </c>
      <c r="H11" s="173"/>
      <c r="I11" s="33" t="s">
        <v>9</v>
      </c>
      <c r="J11" s="164"/>
      <c r="K11" s="37" t="s">
        <v>8</v>
      </c>
      <c r="L11" s="33"/>
      <c r="M11" s="164"/>
      <c r="N11" s="34" t="s">
        <v>9</v>
      </c>
      <c r="O11" s="34"/>
      <c r="P11" s="37" t="s">
        <v>8</v>
      </c>
      <c r="Q11" s="164"/>
      <c r="R11" s="164"/>
      <c r="S11" s="33" t="s">
        <v>9</v>
      </c>
      <c r="T11" s="164"/>
      <c r="U11" s="166" t="s">
        <v>8</v>
      </c>
      <c r="V11" s="174"/>
      <c r="W11" s="164"/>
      <c r="X11" s="34" t="s">
        <v>9</v>
      </c>
      <c r="Y11" s="174"/>
      <c r="Z11" s="37" t="s">
        <v>8</v>
      </c>
      <c r="AA11" s="164"/>
      <c r="AB11" s="34"/>
      <c r="AC11" s="34" t="s">
        <v>9</v>
      </c>
      <c r="AD11" s="172"/>
      <c r="AE11" s="37" t="s">
        <v>8</v>
      </c>
      <c r="AF11" s="172"/>
      <c r="AG11" s="164"/>
      <c r="AH11" s="164" t="s">
        <v>9</v>
      </c>
      <c r="AI11" s="200"/>
      <c r="AJ11" s="200"/>
      <c r="AK11" s="243" t="s">
        <v>9</v>
      </c>
      <c r="AL11" s="199" t="s">
        <v>9</v>
      </c>
      <c r="AM11" s="5">
        <f t="shared" si="3"/>
        <v>156</v>
      </c>
      <c r="AN11" s="235"/>
    </row>
    <row r="12" spans="1:40" ht="21" customHeight="1" x14ac:dyDescent="0.25">
      <c r="A12" s="85">
        <v>17832</v>
      </c>
      <c r="B12" s="85">
        <v>998911</v>
      </c>
      <c r="C12" s="52" t="s">
        <v>46</v>
      </c>
      <c r="D12" s="25" t="s">
        <v>18</v>
      </c>
      <c r="E12" s="25" t="s">
        <v>37</v>
      </c>
      <c r="F12" s="23">
        <v>36</v>
      </c>
      <c r="G12" s="168">
        <f t="shared" si="2"/>
        <v>13</v>
      </c>
      <c r="H12" s="35"/>
      <c r="I12" s="41" t="s">
        <v>9</v>
      </c>
      <c r="J12" s="33"/>
      <c r="K12" s="37" t="s">
        <v>8</v>
      </c>
      <c r="L12" s="164"/>
      <c r="M12" s="33"/>
      <c r="N12" s="174" t="s">
        <v>9</v>
      </c>
      <c r="O12" s="34"/>
      <c r="P12" s="37" t="s">
        <v>8</v>
      </c>
      <c r="Q12" s="33"/>
      <c r="R12" s="164"/>
      <c r="S12" s="41" t="s">
        <v>9</v>
      </c>
      <c r="T12" s="33"/>
      <c r="U12" s="166" t="s">
        <v>8</v>
      </c>
      <c r="V12" s="34"/>
      <c r="W12" s="164"/>
      <c r="X12" s="174" t="s">
        <v>9</v>
      </c>
      <c r="Y12" s="34"/>
      <c r="Z12" s="37" t="s">
        <v>8</v>
      </c>
      <c r="AA12" s="33"/>
      <c r="AB12" s="174"/>
      <c r="AC12" s="174" t="s">
        <v>9</v>
      </c>
      <c r="AD12" s="172"/>
      <c r="AE12" s="37" t="s">
        <v>8</v>
      </c>
      <c r="AF12" s="172"/>
      <c r="AG12" s="164"/>
      <c r="AH12" s="164" t="s">
        <v>9</v>
      </c>
      <c r="AI12" s="200"/>
      <c r="AJ12" s="200"/>
      <c r="AK12" s="243" t="s">
        <v>9</v>
      </c>
      <c r="AL12" s="200" t="s">
        <v>9</v>
      </c>
      <c r="AM12" s="5">
        <f t="shared" si="3"/>
        <v>156</v>
      </c>
      <c r="AN12" s="235"/>
    </row>
    <row r="13" spans="1:40" ht="21" customHeight="1" x14ac:dyDescent="0.25">
      <c r="A13" s="85">
        <v>17876</v>
      </c>
      <c r="B13" s="85">
        <v>1286040</v>
      </c>
      <c r="C13" s="52" t="s">
        <v>47</v>
      </c>
      <c r="D13" s="25" t="s">
        <v>18</v>
      </c>
      <c r="E13" s="25" t="s">
        <v>37</v>
      </c>
      <c r="F13" s="23">
        <v>36</v>
      </c>
      <c r="G13" s="168">
        <f t="shared" si="2"/>
        <v>13</v>
      </c>
      <c r="H13" s="35"/>
      <c r="I13" s="41" t="s">
        <v>9</v>
      </c>
      <c r="J13" s="164"/>
      <c r="K13" s="37" t="s">
        <v>8</v>
      </c>
      <c r="L13" s="164"/>
      <c r="M13" s="33"/>
      <c r="N13" s="174" t="s">
        <v>9</v>
      </c>
      <c r="O13" s="34"/>
      <c r="P13" s="37" t="s">
        <v>8</v>
      </c>
      <c r="Q13" s="164"/>
      <c r="R13" s="33"/>
      <c r="S13" s="41" t="s">
        <v>9</v>
      </c>
      <c r="T13" s="164"/>
      <c r="U13" s="166" t="s">
        <v>8</v>
      </c>
      <c r="V13" s="174"/>
      <c r="W13" s="33"/>
      <c r="X13" s="174" t="s">
        <v>9</v>
      </c>
      <c r="Y13" s="174"/>
      <c r="Z13" s="37" t="s">
        <v>8</v>
      </c>
      <c r="AA13" s="164"/>
      <c r="AB13" s="34"/>
      <c r="AC13" s="174" t="s">
        <v>9</v>
      </c>
      <c r="AD13" s="172"/>
      <c r="AE13" s="37" t="s">
        <v>8</v>
      </c>
      <c r="AF13" s="172"/>
      <c r="AG13" s="33"/>
      <c r="AH13" s="164" t="s">
        <v>9</v>
      </c>
      <c r="AI13" s="200"/>
      <c r="AJ13" s="200"/>
      <c r="AK13" s="243" t="s">
        <v>9</v>
      </c>
      <c r="AL13" s="200" t="s">
        <v>9</v>
      </c>
      <c r="AM13" s="5">
        <f t="shared" si="3"/>
        <v>156</v>
      </c>
      <c r="AN13" s="235"/>
    </row>
    <row r="14" spans="1:40" ht="21" customHeight="1" x14ac:dyDescent="0.25">
      <c r="A14" s="85">
        <v>17835</v>
      </c>
      <c r="B14" s="85"/>
      <c r="C14" s="52" t="s">
        <v>48</v>
      </c>
      <c r="D14" s="25" t="s">
        <v>18</v>
      </c>
      <c r="E14" s="25" t="s">
        <v>37</v>
      </c>
      <c r="F14" s="23">
        <v>36</v>
      </c>
      <c r="G14" s="168">
        <f t="shared" si="2"/>
        <v>13</v>
      </c>
      <c r="H14" s="35"/>
      <c r="I14" s="41" t="s">
        <v>9</v>
      </c>
      <c r="J14" s="164"/>
      <c r="K14" s="33" t="s">
        <v>9</v>
      </c>
      <c r="L14" s="164"/>
      <c r="M14" s="33"/>
      <c r="N14" s="166" t="s">
        <v>8</v>
      </c>
      <c r="O14" s="34"/>
      <c r="P14" s="37" t="s">
        <v>8</v>
      </c>
      <c r="Q14" s="164"/>
      <c r="R14" s="33"/>
      <c r="S14" s="41" t="s">
        <v>9</v>
      </c>
      <c r="T14" s="164"/>
      <c r="U14" s="166" t="s">
        <v>8</v>
      </c>
      <c r="V14" s="174"/>
      <c r="W14" s="33"/>
      <c r="X14" s="174" t="s">
        <v>9</v>
      </c>
      <c r="Y14" s="174"/>
      <c r="Z14" s="37" t="s">
        <v>8</v>
      </c>
      <c r="AA14" s="164"/>
      <c r="AB14" s="34"/>
      <c r="AC14" s="174" t="s">
        <v>9</v>
      </c>
      <c r="AD14" s="172"/>
      <c r="AE14" s="37" t="s">
        <v>8</v>
      </c>
      <c r="AF14" s="172"/>
      <c r="AG14" s="33"/>
      <c r="AH14" s="164" t="s">
        <v>9</v>
      </c>
      <c r="AI14" s="200"/>
      <c r="AJ14" s="200" t="s">
        <v>9</v>
      </c>
      <c r="AK14" s="243"/>
      <c r="AL14" s="200" t="s">
        <v>9</v>
      </c>
      <c r="AM14" s="5">
        <f t="shared" si="3"/>
        <v>156</v>
      </c>
      <c r="AN14" s="235"/>
    </row>
    <row r="15" spans="1:40" ht="21" customHeight="1" x14ac:dyDescent="0.25">
      <c r="A15" s="85">
        <v>17847</v>
      </c>
      <c r="B15" s="85">
        <v>3346574</v>
      </c>
      <c r="C15" s="268" t="s">
        <v>70</v>
      </c>
      <c r="D15" s="25" t="s">
        <v>18</v>
      </c>
      <c r="E15" s="25" t="s">
        <v>37</v>
      </c>
      <c r="F15" s="23">
        <v>36</v>
      </c>
      <c r="G15" s="168">
        <f t="shared" si="2"/>
        <v>13</v>
      </c>
      <c r="H15" s="173"/>
      <c r="I15" s="37" t="s">
        <v>8</v>
      </c>
      <c r="J15" s="164"/>
      <c r="K15" s="37"/>
      <c r="L15" s="37" t="s">
        <v>8</v>
      </c>
      <c r="M15" s="33"/>
      <c r="N15" s="34" t="s">
        <v>9</v>
      </c>
      <c r="O15" s="34"/>
      <c r="P15" s="37"/>
      <c r="Q15" s="37" t="s">
        <v>8</v>
      </c>
      <c r="R15" s="33"/>
      <c r="S15" s="37" t="s">
        <v>8</v>
      </c>
      <c r="T15" s="164"/>
      <c r="U15" s="166"/>
      <c r="V15" s="34" t="s">
        <v>9</v>
      </c>
      <c r="W15" s="33"/>
      <c r="X15" s="166" t="s">
        <v>8</v>
      </c>
      <c r="Y15" s="174"/>
      <c r="Z15" s="33"/>
      <c r="AA15" s="37" t="s">
        <v>8</v>
      </c>
      <c r="AB15" s="34"/>
      <c r="AC15" s="166" t="s">
        <v>8</v>
      </c>
      <c r="AD15" s="37"/>
      <c r="AE15" s="33"/>
      <c r="AF15" s="37" t="s">
        <v>8</v>
      </c>
      <c r="AG15" s="172"/>
      <c r="AH15" s="37" t="s">
        <v>8</v>
      </c>
      <c r="AI15" s="201"/>
      <c r="AJ15" s="250" t="s">
        <v>9</v>
      </c>
      <c r="AK15" s="244" t="s">
        <v>8</v>
      </c>
      <c r="AL15" s="201"/>
      <c r="AM15" s="5">
        <f t="shared" si="3"/>
        <v>156</v>
      </c>
      <c r="AN15" s="235"/>
    </row>
    <row r="16" spans="1:40" ht="21" customHeight="1" x14ac:dyDescent="0.25">
      <c r="A16" s="83">
        <v>17819</v>
      </c>
      <c r="B16" s="83">
        <v>1481030</v>
      </c>
      <c r="C16" s="52" t="s">
        <v>49</v>
      </c>
      <c r="D16" s="25" t="s">
        <v>18</v>
      </c>
      <c r="E16" s="25" t="s">
        <v>37</v>
      </c>
      <c r="F16" s="23">
        <v>36</v>
      </c>
      <c r="G16" s="168">
        <f t="shared" si="2"/>
        <v>13</v>
      </c>
      <c r="H16" s="170"/>
      <c r="I16" s="37" t="s">
        <v>8</v>
      </c>
      <c r="J16" s="164"/>
      <c r="K16" s="33"/>
      <c r="L16" s="41" t="s">
        <v>9</v>
      </c>
      <c r="M16" s="164"/>
      <c r="N16" s="166" t="s">
        <v>8</v>
      </c>
      <c r="O16" s="34"/>
      <c r="P16" s="164"/>
      <c r="Q16" s="41" t="s">
        <v>9</v>
      </c>
      <c r="R16" s="33"/>
      <c r="S16" s="37" t="s">
        <v>8</v>
      </c>
      <c r="T16" s="164"/>
      <c r="U16" s="34"/>
      <c r="V16" s="174" t="s">
        <v>9</v>
      </c>
      <c r="W16" s="33"/>
      <c r="X16" s="166" t="s">
        <v>8</v>
      </c>
      <c r="Y16" s="174"/>
      <c r="Z16" s="33"/>
      <c r="AA16" s="41" t="s">
        <v>9</v>
      </c>
      <c r="AB16" s="34"/>
      <c r="AC16" s="166" t="s">
        <v>8</v>
      </c>
      <c r="AD16" s="37"/>
      <c r="AE16" s="33"/>
      <c r="AF16" s="41" t="s">
        <v>9</v>
      </c>
      <c r="AG16" s="172"/>
      <c r="AH16" s="37" t="s">
        <v>8</v>
      </c>
      <c r="AI16" s="201"/>
      <c r="AJ16" s="250" t="s">
        <v>9</v>
      </c>
      <c r="AK16" s="244"/>
      <c r="AL16" s="250" t="s">
        <v>9</v>
      </c>
      <c r="AM16" s="5">
        <f t="shared" si="3"/>
        <v>156</v>
      </c>
      <c r="AN16" s="235"/>
    </row>
    <row r="17" spans="1:40" ht="21" customHeight="1" x14ac:dyDescent="0.25">
      <c r="A17" s="85">
        <v>17843</v>
      </c>
      <c r="B17" s="85">
        <v>1237663</v>
      </c>
      <c r="C17" s="52" t="s">
        <v>71</v>
      </c>
      <c r="D17" s="25" t="s">
        <v>18</v>
      </c>
      <c r="E17" s="25" t="s">
        <v>37</v>
      </c>
      <c r="F17" s="23">
        <v>36</v>
      </c>
      <c r="G17" s="168">
        <f t="shared" si="2"/>
        <v>13</v>
      </c>
      <c r="H17" s="111"/>
      <c r="I17" s="37" t="s">
        <v>8</v>
      </c>
      <c r="J17" s="33"/>
      <c r="K17" s="33"/>
      <c r="L17" s="41" t="s">
        <v>9</v>
      </c>
      <c r="M17" s="33"/>
      <c r="N17" s="166" t="s">
        <v>8</v>
      </c>
      <c r="O17" s="34"/>
      <c r="P17" s="164"/>
      <c r="Q17" s="41" t="s">
        <v>9</v>
      </c>
      <c r="R17" s="33"/>
      <c r="S17" s="37" t="s">
        <v>8</v>
      </c>
      <c r="T17" s="37"/>
      <c r="U17" s="34"/>
      <c r="V17" s="174" t="s">
        <v>9</v>
      </c>
      <c r="W17" s="33"/>
      <c r="X17" s="166" t="s">
        <v>8</v>
      </c>
      <c r="Y17" s="34"/>
      <c r="Z17" s="164"/>
      <c r="AA17" s="41" t="s">
        <v>9</v>
      </c>
      <c r="AB17" s="34"/>
      <c r="AC17" s="166" t="s">
        <v>8</v>
      </c>
      <c r="AD17" s="37"/>
      <c r="AE17" s="164"/>
      <c r="AF17" s="41" t="s">
        <v>9</v>
      </c>
      <c r="AG17" s="172"/>
      <c r="AH17" s="37" t="s">
        <v>8</v>
      </c>
      <c r="AI17" s="201"/>
      <c r="AJ17" s="250" t="s">
        <v>9</v>
      </c>
      <c r="AK17" s="244"/>
      <c r="AL17" s="250" t="s">
        <v>9</v>
      </c>
      <c r="AM17" s="5">
        <f t="shared" si="3"/>
        <v>156</v>
      </c>
      <c r="AN17" s="235"/>
    </row>
    <row r="18" spans="1:40" ht="21" customHeight="1" x14ac:dyDescent="0.25">
      <c r="A18" s="83">
        <v>17831</v>
      </c>
      <c r="B18" s="83">
        <v>1040787</v>
      </c>
      <c r="C18" s="52" t="s">
        <v>23</v>
      </c>
      <c r="D18" s="25" t="s">
        <v>18</v>
      </c>
      <c r="E18" s="25" t="s">
        <v>37</v>
      </c>
      <c r="F18" s="23">
        <v>36</v>
      </c>
      <c r="G18" s="168">
        <f t="shared" si="2"/>
        <v>13</v>
      </c>
      <c r="H18" s="170"/>
      <c r="I18" s="37" t="s">
        <v>8</v>
      </c>
      <c r="J18" s="164"/>
      <c r="K18" s="33"/>
      <c r="L18" s="41" t="s">
        <v>9</v>
      </c>
      <c r="M18" s="33"/>
      <c r="N18" s="166" t="s">
        <v>8</v>
      </c>
      <c r="O18" s="34"/>
      <c r="P18" s="164"/>
      <c r="Q18" s="41" t="s">
        <v>9</v>
      </c>
      <c r="R18" s="33"/>
      <c r="S18" s="37" t="s">
        <v>8</v>
      </c>
      <c r="T18" s="164"/>
      <c r="U18" s="34"/>
      <c r="V18" s="174" t="s">
        <v>9</v>
      </c>
      <c r="W18" s="33"/>
      <c r="X18" s="166" t="s">
        <v>8</v>
      </c>
      <c r="Y18" s="174"/>
      <c r="Z18" s="33"/>
      <c r="AA18" s="41" t="s">
        <v>9</v>
      </c>
      <c r="AB18" s="34"/>
      <c r="AC18" s="166" t="s">
        <v>8</v>
      </c>
      <c r="AD18" s="37"/>
      <c r="AE18" s="33"/>
      <c r="AF18" s="41" t="s">
        <v>9</v>
      </c>
      <c r="AG18" s="172"/>
      <c r="AH18" s="37" t="s">
        <v>8</v>
      </c>
      <c r="AI18" s="201"/>
      <c r="AJ18" s="250" t="s">
        <v>9</v>
      </c>
      <c r="AK18" s="244" t="s">
        <v>8</v>
      </c>
      <c r="AL18" s="201"/>
      <c r="AM18" s="5">
        <f t="shared" si="3"/>
        <v>156</v>
      </c>
      <c r="AN18" s="235"/>
    </row>
    <row r="19" spans="1:40" ht="21" customHeight="1" x14ac:dyDescent="0.25">
      <c r="A19" s="85">
        <v>17867</v>
      </c>
      <c r="B19" s="85">
        <v>573710</v>
      </c>
      <c r="C19" s="52" t="s">
        <v>51</v>
      </c>
      <c r="D19" s="25" t="s">
        <v>18</v>
      </c>
      <c r="E19" s="25" t="s">
        <v>37</v>
      </c>
      <c r="F19" s="23">
        <v>36</v>
      </c>
      <c r="G19" s="192">
        <f t="shared" si="2"/>
        <v>13</v>
      </c>
      <c r="H19" s="170"/>
      <c r="I19" s="6" t="s">
        <v>9</v>
      </c>
      <c r="J19" s="164" t="s">
        <v>9</v>
      </c>
      <c r="K19" s="164"/>
      <c r="L19" s="37" t="s">
        <v>8</v>
      </c>
      <c r="M19" s="164"/>
      <c r="N19" s="34"/>
      <c r="O19" s="174" t="s">
        <v>9</v>
      </c>
      <c r="P19" s="164"/>
      <c r="Q19" s="41" t="s">
        <v>9</v>
      </c>
      <c r="R19" s="164"/>
      <c r="S19" s="33"/>
      <c r="T19" s="164" t="s">
        <v>9</v>
      </c>
      <c r="U19" s="174"/>
      <c r="V19" s="174" t="s">
        <v>9</v>
      </c>
      <c r="W19" s="164"/>
      <c r="X19" s="34"/>
      <c r="Y19" s="174" t="s">
        <v>9</v>
      </c>
      <c r="Z19" s="164"/>
      <c r="AA19" s="37" t="s">
        <v>8</v>
      </c>
      <c r="AB19" s="174"/>
      <c r="AC19" s="34"/>
      <c r="AD19" s="164" t="s">
        <v>9</v>
      </c>
      <c r="AE19" s="164"/>
      <c r="AF19" s="37" t="s">
        <v>8</v>
      </c>
      <c r="AG19" s="37"/>
      <c r="AH19" s="33"/>
      <c r="AI19" s="201" t="s">
        <v>8</v>
      </c>
      <c r="AJ19" s="199"/>
      <c r="AK19" s="244" t="s">
        <v>8</v>
      </c>
      <c r="AL19" s="199"/>
      <c r="AM19" s="5">
        <f t="shared" si="3"/>
        <v>156</v>
      </c>
      <c r="AN19" s="235"/>
    </row>
    <row r="20" spans="1:40" ht="21" customHeight="1" x14ac:dyDescent="0.25">
      <c r="A20" s="85"/>
      <c r="B20" s="85">
        <v>937898</v>
      </c>
      <c r="C20" s="259" t="s">
        <v>118</v>
      </c>
      <c r="D20" s="25" t="s">
        <v>18</v>
      </c>
      <c r="E20" s="25" t="s">
        <v>37</v>
      </c>
      <c r="F20" s="23">
        <v>36</v>
      </c>
      <c r="G20" s="192">
        <f t="shared" si="2"/>
        <v>13</v>
      </c>
      <c r="H20" s="111" t="s">
        <v>9</v>
      </c>
      <c r="I20" s="41"/>
      <c r="J20" s="37" t="s">
        <v>8</v>
      </c>
      <c r="K20" s="164"/>
      <c r="L20" s="238" t="s">
        <v>9</v>
      </c>
      <c r="M20" s="33"/>
      <c r="N20" s="166" t="s">
        <v>8</v>
      </c>
      <c r="O20" s="174"/>
      <c r="P20" s="37" t="s">
        <v>8</v>
      </c>
      <c r="Q20" s="10"/>
      <c r="R20" s="33" t="s">
        <v>9</v>
      </c>
      <c r="S20" s="164"/>
      <c r="T20" s="164" t="s">
        <v>9</v>
      </c>
      <c r="U20" s="174"/>
      <c r="V20" s="237"/>
      <c r="W20" s="238" t="s">
        <v>9</v>
      </c>
      <c r="X20" s="174"/>
      <c r="Y20" s="174"/>
      <c r="Z20" s="164" t="s">
        <v>9</v>
      </c>
      <c r="AA20" s="37" t="s">
        <v>8</v>
      </c>
      <c r="AB20" s="237"/>
      <c r="AC20" s="174"/>
      <c r="AD20" s="164"/>
      <c r="AE20" s="164" t="s">
        <v>9</v>
      </c>
      <c r="AF20" s="238"/>
      <c r="AG20" s="37"/>
      <c r="AH20" s="164" t="s">
        <v>9</v>
      </c>
      <c r="AI20" s="200"/>
      <c r="AJ20" s="200"/>
      <c r="AK20" s="244" t="s">
        <v>8</v>
      </c>
      <c r="AL20" s="199"/>
      <c r="AM20" s="5">
        <f t="shared" si="3"/>
        <v>156</v>
      </c>
      <c r="AN20" s="235"/>
    </row>
    <row r="21" spans="1:40" ht="21" customHeight="1" x14ac:dyDescent="0.25">
      <c r="A21" s="83">
        <v>17829</v>
      </c>
      <c r="B21" s="83">
        <v>1124059</v>
      </c>
      <c r="C21" s="52" t="s">
        <v>53</v>
      </c>
      <c r="D21" s="25" t="s">
        <v>18</v>
      </c>
      <c r="E21" s="25" t="s">
        <v>37</v>
      </c>
      <c r="F21" s="23">
        <v>36</v>
      </c>
      <c r="G21" s="192">
        <f t="shared" si="2"/>
        <v>13</v>
      </c>
      <c r="H21" s="170"/>
      <c r="I21" s="6"/>
      <c r="J21" s="164" t="s">
        <v>9</v>
      </c>
      <c r="K21" s="33"/>
      <c r="L21" s="37" t="s">
        <v>8</v>
      </c>
      <c r="M21" s="33"/>
      <c r="N21" s="174"/>
      <c r="O21" s="174" t="s">
        <v>9</v>
      </c>
      <c r="P21" s="33"/>
      <c r="Q21" s="37" t="s">
        <v>8</v>
      </c>
      <c r="R21" s="33"/>
      <c r="S21" s="33"/>
      <c r="T21" s="164" t="s">
        <v>9</v>
      </c>
      <c r="U21" s="174"/>
      <c r="V21" s="166" t="s">
        <v>8</v>
      </c>
      <c r="W21" s="164"/>
      <c r="X21" s="34"/>
      <c r="Y21" s="174" t="s">
        <v>9</v>
      </c>
      <c r="Z21" s="164"/>
      <c r="AA21" s="41" t="s">
        <v>9</v>
      </c>
      <c r="AB21" s="174"/>
      <c r="AC21" s="166" t="s">
        <v>8</v>
      </c>
      <c r="AD21" s="164"/>
      <c r="AE21" s="164"/>
      <c r="AF21" s="41" t="s">
        <v>9</v>
      </c>
      <c r="AG21" s="37"/>
      <c r="AH21" s="37" t="s">
        <v>8</v>
      </c>
      <c r="AI21" s="201"/>
      <c r="AJ21" s="201" t="s">
        <v>8</v>
      </c>
      <c r="AK21" s="244"/>
      <c r="AL21" s="200" t="s">
        <v>9</v>
      </c>
      <c r="AM21" s="5">
        <f t="shared" si="3"/>
        <v>156</v>
      </c>
      <c r="AN21" s="235"/>
    </row>
    <row r="22" spans="1:40" ht="21" customHeight="1" x14ac:dyDescent="0.25">
      <c r="A22" s="83">
        <v>1185</v>
      </c>
      <c r="B22" s="83">
        <v>397879</v>
      </c>
      <c r="C22" s="268" t="s">
        <v>55</v>
      </c>
      <c r="D22" s="25" t="s">
        <v>18</v>
      </c>
      <c r="E22" s="25" t="s">
        <v>37</v>
      </c>
      <c r="F22" s="23">
        <v>36</v>
      </c>
      <c r="G22" s="192">
        <f t="shared" si="2"/>
        <v>13</v>
      </c>
      <c r="H22" s="251"/>
      <c r="I22" s="41"/>
      <c r="J22" s="164" t="s">
        <v>9</v>
      </c>
      <c r="K22" s="33"/>
      <c r="L22" s="37" t="s">
        <v>8</v>
      </c>
      <c r="M22" s="33"/>
      <c r="N22" s="174" t="s">
        <v>9</v>
      </c>
      <c r="O22" s="174"/>
      <c r="P22" s="164"/>
      <c r="Q22" s="37" t="s">
        <v>8</v>
      </c>
      <c r="R22" s="33"/>
      <c r="S22" s="164"/>
      <c r="T22" s="164" t="s">
        <v>9</v>
      </c>
      <c r="U22" s="174"/>
      <c r="V22" s="166" t="s">
        <v>8</v>
      </c>
      <c r="W22" s="164"/>
      <c r="X22" s="174"/>
      <c r="Y22" s="174" t="s">
        <v>9</v>
      </c>
      <c r="Z22" s="164"/>
      <c r="AA22" s="41" t="s">
        <v>9</v>
      </c>
      <c r="AB22" s="174"/>
      <c r="AC22" s="166" t="s">
        <v>8</v>
      </c>
      <c r="AD22" s="37"/>
      <c r="AE22" s="164" t="s">
        <v>9</v>
      </c>
      <c r="AF22" s="41" t="s">
        <v>9</v>
      </c>
      <c r="AG22" s="37"/>
      <c r="AH22" s="37" t="s">
        <v>8</v>
      </c>
      <c r="AI22" s="201"/>
      <c r="AJ22" s="201"/>
      <c r="AK22" s="244" t="s">
        <v>8</v>
      </c>
      <c r="AL22" s="201"/>
      <c r="AM22" s="5">
        <f t="shared" si="3"/>
        <v>156</v>
      </c>
      <c r="AN22" s="235"/>
    </row>
    <row r="23" spans="1:40" ht="21" customHeight="1" x14ac:dyDescent="0.3">
      <c r="A23" s="86">
        <v>1182</v>
      </c>
      <c r="B23" s="86"/>
      <c r="C23" s="52" t="s">
        <v>56</v>
      </c>
      <c r="D23" s="25" t="s">
        <v>18</v>
      </c>
      <c r="E23" s="25" t="s">
        <v>37</v>
      </c>
      <c r="F23" s="23">
        <v>36</v>
      </c>
      <c r="G23" s="192">
        <f t="shared" si="2"/>
        <v>13</v>
      </c>
      <c r="H23" s="206" t="s">
        <v>9</v>
      </c>
      <c r="I23" s="41"/>
      <c r="J23" s="37" t="s">
        <v>8</v>
      </c>
      <c r="K23" s="33"/>
      <c r="L23" s="164"/>
      <c r="M23" s="164" t="s">
        <v>9</v>
      </c>
      <c r="N23" s="174"/>
      <c r="O23" s="166" t="s">
        <v>8</v>
      </c>
      <c r="P23" s="164"/>
      <c r="Q23" s="164"/>
      <c r="R23" s="164" t="s">
        <v>9</v>
      </c>
      <c r="S23" s="164"/>
      <c r="T23" s="37" t="s">
        <v>8</v>
      </c>
      <c r="U23" s="174"/>
      <c r="V23" s="174"/>
      <c r="W23" s="164" t="s">
        <v>9</v>
      </c>
      <c r="X23" s="174"/>
      <c r="Y23" s="166" t="s">
        <v>8</v>
      </c>
      <c r="Z23" s="164"/>
      <c r="AA23" s="164"/>
      <c r="AB23" s="111" t="s">
        <v>9</v>
      </c>
      <c r="AC23" s="174"/>
      <c r="AD23" s="37" t="s">
        <v>8</v>
      </c>
      <c r="AE23" s="164"/>
      <c r="AF23" s="164"/>
      <c r="AG23" s="164" t="s">
        <v>9</v>
      </c>
      <c r="AH23" s="164"/>
      <c r="AI23" s="201" t="s">
        <v>8</v>
      </c>
      <c r="AJ23" s="200"/>
      <c r="AK23" s="243" t="s">
        <v>9</v>
      </c>
      <c r="AL23" s="201"/>
      <c r="AM23" s="5">
        <f t="shared" si="3"/>
        <v>156</v>
      </c>
      <c r="AN23" s="235"/>
    </row>
    <row r="24" spans="1:40" ht="21" customHeight="1" x14ac:dyDescent="0.3">
      <c r="A24" s="86">
        <v>11100</v>
      </c>
      <c r="B24" s="86">
        <v>932790</v>
      </c>
      <c r="C24" s="52" t="s">
        <v>57</v>
      </c>
      <c r="D24" s="25" t="s">
        <v>18</v>
      </c>
      <c r="E24" s="25" t="s">
        <v>37</v>
      </c>
      <c r="F24" s="23">
        <v>36</v>
      </c>
      <c r="G24" s="192">
        <f t="shared" si="2"/>
        <v>13</v>
      </c>
      <c r="H24" s="207" t="s">
        <v>9</v>
      </c>
      <c r="I24" s="41"/>
      <c r="J24" s="37" t="s">
        <v>8</v>
      </c>
      <c r="K24" s="164"/>
      <c r="L24" s="33"/>
      <c r="M24" s="164" t="s">
        <v>9</v>
      </c>
      <c r="N24" s="34"/>
      <c r="O24" s="166" t="s">
        <v>8</v>
      </c>
      <c r="P24" s="164"/>
      <c r="Q24" s="33"/>
      <c r="R24" s="164" t="s">
        <v>9</v>
      </c>
      <c r="S24" s="33"/>
      <c r="T24" s="37" t="s">
        <v>8</v>
      </c>
      <c r="U24" s="34"/>
      <c r="V24" s="174"/>
      <c r="W24" s="164" t="s">
        <v>9</v>
      </c>
      <c r="X24" s="174"/>
      <c r="Y24" s="166" t="s">
        <v>8</v>
      </c>
      <c r="Z24" s="37"/>
      <c r="AA24" s="164"/>
      <c r="AB24" s="170" t="s">
        <v>9</v>
      </c>
      <c r="AC24" s="174"/>
      <c r="AD24" s="37" t="s">
        <v>8</v>
      </c>
      <c r="AE24" s="164"/>
      <c r="AF24" s="164"/>
      <c r="AG24" s="164" t="s">
        <v>9</v>
      </c>
      <c r="AH24" s="33" t="s">
        <v>9</v>
      </c>
      <c r="AI24" s="199"/>
      <c r="AJ24" s="201" t="s">
        <v>8</v>
      </c>
      <c r="AK24" s="240"/>
      <c r="AL24" s="201"/>
      <c r="AM24" s="5">
        <f t="shared" si="3"/>
        <v>156</v>
      </c>
      <c r="AN24" s="235"/>
    </row>
    <row r="25" spans="1:40" ht="21" customHeight="1" x14ac:dyDescent="0.3">
      <c r="A25" s="86">
        <v>12840</v>
      </c>
      <c r="B25" s="86">
        <v>1802444</v>
      </c>
      <c r="C25" s="109" t="s">
        <v>38</v>
      </c>
      <c r="D25" s="3" t="s">
        <v>39</v>
      </c>
      <c r="E25" s="25" t="s">
        <v>37</v>
      </c>
      <c r="F25" s="3">
        <v>36</v>
      </c>
      <c r="G25" s="192">
        <f t="shared" si="2"/>
        <v>13</v>
      </c>
      <c r="H25" s="280" t="s">
        <v>8</v>
      </c>
      <c r="I25" s="29"/>
      <c r="J25" s="37" t="s">
        <v>8</v>
      </c>
      <c r="K25" s="51"/>
      <c r="L25" s="279"/>
      <c r="M25" s="164" t="s">
        <v>9</v>
      </c>
      <c r="N25" s="31"/>
      <c r="O25" s="166" t="s">
        <v>8</v>
      </c>
      <c r="P25" s="51"/>
      <c r="Q25" s="51"/>
      <c r="R25" s="164" t="s">
        <v>9</v>
      </c>
      <c r="S25" s="29"/>
      <c r="T25" s="37" t="s">
        <v>8</v>
      </c>
      <c r="U25" s="31"/>
      <c r="V25" s="31"/>
      <c r="W25" s="164" t="s">
        <v>9</v>
      </c>
      <c r="X25" s="31"/>
      <c r="Y25" s="166" t="s">
        <v>8</v>
      </c>
      <c r="Z25" s="51"/>
      <c r="AA25" s="29"/>
      <c r="AB25" s="101" t="s">
        <v>9</v>
      </c>
      <c r="AC25" s="31"/>
      <c r="AD25" s="37" t="s">
        <v>8</v>
      </c>
      <c r="AE25" s="29"/>
      <c r="AF25" s="164"/>
      <c r="AG25" s="164" t="s">
        <v>9</v>
      </c>
      <c r="AH25" s="29"/>
      <c r="AI25" s="201" t="s">
        <v>8</v>
      </c>
      <c r="AJ25" s="199"/>
      <c r="AK25" s="244" t="s">
        <v>8</v>
      </c>
      <c r="AL25" s="201"/>
      <c r="AM25" s="5">
        <f t="shared" si="3"/>
        <v>156</v>
      </c>
      <c r="AN25" s="235"/>
    </row>
    <row r="26" spans="1:40" ht="21" customHeight="1" x14ac:dyDescent="0.3">
      <c r="A26" s="86">
        <v>12839</v>
      </c>
      <c r="B26" s="86">
        <v>536537</v>
      </c>
      <c r="C26" s="109" t="s">
        <v>72</v>
      </c>
      <c r="D26" s="3" t="s">
        <v>39</v>
      </c>
      <c r="E26" s="25" t="s">
        <v>37</v>
      </c>
      <c r="F26" s="3">
        <v>36</v>
      </c>
      <c r="G26" s="192">
        <f t="shared" si="2"/>
        <v>13</v>
      </c>
      <c r="H26" s="171" t="s">
        <v>9</v>
      </c>
      <c r="I26" s="51"/>
      <c r="J26" s="37" t="s">
        <v>8</v>
      </c>
      <c r="K26" s="51"/>
      <c r="L26" s="51"/>
      <c r="M26" s="164" t="s">
        <v>9</v>
      </c>
      <c r="N26" s="31"/>
      <c r="O26" s="166" t="s">
        <v>8</v>
      </c>
      <c r="P26" s="29"/>
      <c r="Q26" s="51"/>
      <c r="R26" s="164" t="s">
        <v>9</v>
      </c>
      <c r="S26" s="29"/>
      <c r="T26" s="37" t="s">
        <v>8</v>
      </c>
      <c r="U26" s="31"/>
      <c r="V26" s="100"/>
      <c r="W26" s="164" t="s">
        <v>9</v>
      </c>
      <c r="X26" s="31"/>
      <c r="Y26" s="166" t="s">
        <v>8</v>
      </c>
      <c r="Z26" s="29"/>
      <c r="AA26" s="51"/>
      <c r="AB26" s="101" t="s">
        <v>9</v>
      </c>
      <c r="AC26" s="31"/>
      <c r="AD26" s="37" t="s">
        <v>8</v>
      </c>
      <c r="AE26" s="51"/>
      <c r="AF26" s="164"/>
      <c r="AG26" s="164" t="s">
        <v>9</v>
      </c>
      <c r="AH26" s="29"/>
      <c r="AI26" s="201" t="s">
        <v>8</v>
      </c>
      <c r="AJ26" s="201"/>
      <c r="AK26" s="240" t="s">
        <v>9</v>
      </c>
      <c r="AL26" s="201"/>
      <c r="AM26" s="125">
        <f t="shared" si="3"/>
        <v>156</v>
      </c>
      <c r="AN26" s="235"/>
    </row>
    <row r="27" spans="1:40" ht="21" customHeight="1" x14ac:dyDescent="0.3">
      <c r="A27" s="26">
        <v>6991</v>
      </c>
      <c r="B27" s="26">
        <v>353269</v>
      </c>
      <c r="C27" s="109" t="s">
        <v>84</v>
      </c>
      <c r="D27" s="3" t="s">
        <v>39</v>
      </c>
      <c r="E27" s="25" t="s">
        <v>37</v>
      </c>
      <c r="F27" s="3">
        <v>36</v>
      </c>
      <c r="G27" s="192">
        <f t="shared" si="2"/>
        <v>13</v>
      </c>
      <c r="H27" s="171" t="s">
        <v>9</v>
      </c>
      <c r="I27" s="51"/>
      <c r="J27" s="29" t="s">
        <v>9</v>
      </c>
      <c r="K27" s="29" t="s">
        <v>9</v>
      </c>
      <c r="L27" s="29"/>
      <c r="M27" s="51" t="s">
        <v>8</v>
      </c>
      <c r="N27" s="100"/>
      <c r="O27" s="31"/>
      <c r="P27" s="29" t="s">
        <v>9</v>
      </c>
      <c r="Q27" s="29"/>
      <c r="R27" s="51" t="s">
        <v>8</v>
      </c>
      <c r="S27" s="51"/>
      <c r="T27" s="180"/>
      <c r="U27" s="194" t="s">
        <v>9</v>
      </c>
      <c r="V27" s="31"/>
      <c r="W27" s="29" t="s">
        <v>9</v>
      </c>
      <c r="X27" s="100"/>
      <c r="Y27" s="166" t="s">
        <v>8</v>
      </c>
      <c r="Z27" s="29"/>
      <c r="AA27" s="29"/>
      <c r="AB27" s="101" t="s">
        <v>9</v>
      </c>
      <c r="AC27" s="100"/>
      <c r="AD27" s="37" t="s">
        <v>8</v>
      </c>
      <c r="AE27" s="29"/>
      <c r="AF27" s="29"/>
      <c r="AG27" s="29" t="s">
        <v>9</v>
      </c>
      <c r="AH27" s="51"/>
      <c r="AI27" s="198"/>
      <c r="AJ27" s="198" t="s">
        <v>8</v>
      </c>
      <c r="AK27" s="245"/>
      <c r="AL27" s="198"/>
      <c r="AM27" s="125">
        <f t="shared" si="3"/>
        <v>156</v>
      </c>
      <c r="AN27" s="235"/>
    </row>
    <row r="28" spans="1:40" ht="21" customHeight="1" x14ac:dyDescent="0.3">
      <c r="A28" s="148">
        <v>12875</v>
      </c>
      <c r="B28" s="148"/>
      <c r="C28" s="117" t="s">
        <v>90</v>
      </c>
      <c r="D28" s="3" t="s">
        <v>39</v>
      </c>
      <c r="E28" s="25" t="s">
        <v>37</v>
      </c>
      <c r="F28" s="3">
        <v>36</v>
      </c>
      <c r="G28" s="192">
        <f t="shared" si="2"/>
        <v>13</v>
      </c>
      <c r="H28" s="204" t="s">
        <v>8</v>
      </c>
      <c r="I28" s="48"/>
      <c r="J28" s="48"/>
      <c r="K28" s="164" t="s">
        <v>9</v>
      </c>
      <c r="L28" s="48"/>
      <c r="M28" s="51" t="s">
        <v>8</v>
      </c>
      <c r="N28" s="181"/>
      <c r="O28" s="181"/>
      <c r="P28" s="193" t="s">
        <v>9</v>
      </c>
      <c r="Q28" s="48"/>
      <c r="R28" s="37" t="s">
        <v>8</v>
      </c>
      <c r="S28" s="48"/>
      <c r="T28" s="48"/>
      <c r="U28" s="195" t="s">
        <v>9</v>
      </c>
      <c r="V28" s="183"/>
      <c r="W28" s="182" t="s">
        <v>8</v>
      </c>
      <c r="X28" s="181"/>
      <c r="Y28" s="181"/>
      <c r="Z28" s="164" t="s">
        <v>9</v>
      </c>
      <c r="AA28" s="182"/>
      <c r="AB28" s="166" t="s">
        <v>8</v>
      </c>
      <c r="AC28" s="181"/>
      <c r="AD28" s="48"/>
      <c r="AE28" s="164" t="s">
        <v>9</v>
      </c>
      <c r="AF28" s="182"/>
      <c r="AG28" s="37" t="s">
        <v>8</v>
      </c>
      <c r="AH28" s="48"/>
      <c r="AI28" s="202"/>
      <c r="AJ28" s="201" t="s">
        <v>8</v>
      </c>
      <c r="AK28" s="246"/>
      <c r="AL28" s="202" t="s">
        <v>9</v>
      </c>
      <c r="AM28" s="125">
        <f t="shared" si="3"/>
        <v>156</v>
      </c>
      <c r="AN28" s="235"/>
    </row>
    <row r="29" spans="1:40" ht="21" customHeight="1" x14ac:dyDescent="0.3">
      <c r="A29" s="148">
        <v>1139</v>
      </c>
      <c r="B29" s="148"/>
      <c r="C29" s="117" t="s">
        <v>93</v>
      </c>
      <c r="D29" s="3" t="s">
        <v>39</v>
      </c>
      <c r="E29" s="25" t="s">
        <v>37</v>
      </c>
      <c r="F29" s="3">
        <v>36</v>
      </c>
      <c r="G29" s="192">
        <f t="shared" si="2"/>
        <v>13</v>
      </c>
      <c r="H29" s="204" t="s">
        <v>8</v>
      </c>
      <c r="I29" s="48"/>
      <c r="J29" s="48"/>
      <c r="K29" s="164" t="s">
        <v>9</v>
      </c>
      <c r="L29" s="48"/>
      <c r="M29" s="193" t="s">
        <v>9</v>
      </c>
      <c r="N29" s="181"/>
      <c r="O29" s="224" t="s">
        <v>9</v>
      </c>
      <c r="P29" s="193" t="s">
        <v>9</v>
      </c>
      <c r="Q29" s="48"/>
      <c r="R29" s="37" t="s">
        <v>8</v>
      </c>
      <c r="S29" s="48"/>
      <c r="T29" s="48"/>
      <c r="U29" s="195" t="s">
        <v>9</v>
      </c>
      <c r="V29" s="169"/>
      <c r="W29" s="182" t="s">
        <v>8</v>
      </c>
      <c r="X29" s="181"/>
      <c r="Y29" s="181"/>
      <c r="Z29" s="29" t="s">
        <v>9</v>
      </c>
      <c r="AA29" s="182"/>
      <c r="AB29" s="166" t="s">
        <v>8</v>
      </c>
      <c r="AC29" s="181"/>
      <c r="AD29" s="48"/>
      <c r="AE29" s="164" t="s">
        <v>9</v>
      </c>
      <c r="AF29" s="182"/>
      <c r="AG29" s="37" t="s">
        <v>8</v>
      </c>
      <c r="AH29" s="48"/>
      <c r="AI29" s="198" t="s">
        <v>8</v>
      </c>
      <c r="AJ29" s="202"/>
      <c r="AK29" s="246"/>
      <c r="AL29" s="202"/>
      <c r="AM29" s="125">
        <f t="shared" si="3"/>
        <v>156</v>
      </c>
    </row>
    <row r="30" spans="1:40" ht="21" customHeight="1" x14ac:dyDescent="0.3">
      <c r="A30" s="176">
        <v>12793</v>
      </c>
      <c r="B30" s="257">
        <v>942270</v>
      </c>
      <c r="C30" s="190" t="s">
        <v>97</v>
      </c>
      <c r="D30" s="3" t="s">
        <v>39</v>
      </c>
      <c r="E30" s="25" t="s">
        <v>37</v>
      </c>
      <c r="F30" s="3">
        <v>36</v>
      </c>
      <c r="G30" s="192">
        <f t="shared" si="2"/>
        <v>13</v>
      </c>
      <c r="H30" s="34"/>
      <c r="I30" s="184" t="s">
        <v>9</v>
      </c>
      <c r="J30" s="186"/>
      <c r="K30" s="37" t="s">
        <v>8</v>
      </c>
      <c r="L30" s="186"/>
      <c r="M30" s="33"/>
      <c r="N30" s="174" t="s">
        <v>9</v>
      </c>
      <c r="O30" s="183" t="s">
        <v>8</v>
      </c>
      <c r="P30" s="37"/>
      <c r="Q30" s="186"/>
      <c r="R30" s="48"/>
      <c r="S30" s="29" t="s">
        <v>9</v>
      </c>
      <c r="T30" s="48"/>
      <c r="U30" s="196" t="s">
        <v>8</v>
      </c>
      <c r="V30" s="169"/>
      <c r="W30" s="48"/>
      <c r="X30" s="194" t="s">
        <v>9</v>
      </c>
      <c r="Y30" s="169"/>
      <c r="Z30" s="29" t="s">
        <v>9</v>
      </c>
      <c r="AA30" s="48"/>
      <c r="AB30" s="166" t="s">
        <v>8</v>
      </c>
      <c r="AC30" s="187"/>
      <c r="AD30" s="48"/>
      <c r="AE30" s="164" t="s">
        <v>9</v>
      </c>
      <c r="AF30" s="182"/>
      <c r="AG30" s="37" t="s">
        <v>8</v>
      </c>
      <c r="AH30" s="48"/>
      <c r="AI30" s="198" t="s">
        <v>8</v>
      </c>
      <c r="AJ30" s="266"/>
      <c r="AK30" s="247" t="s">
        <v>9</v>
      </c>
      <c r="AL30" s="202"/>
      <c r="AM30" s="177">
        <f t="shared" si="3"/>
        <v>156</v>
      </c>
      <c r="AN30" s="235"/>
    </row>
    <row r="31" spans="1:40" ht="21" customHeight="1" x14ac:dyDescent="0.3">
      <c r="A31" s="176"/>
      <c r="B31" s="257"/>
      <c r="C31" s="260" t="s">
        <v>105</v>
      </c>
      <c r="D31" s="3" t="s">
        <v>39</v>
      </c>
      <c r="E31" s="25" t="s">
        <v>37</v>
      </c>
      <c r="F31" s="3">
        <v>36</v>
      </c>
      <c r="G31" s="192">
        <v>13</v>
      </c>
      <c r="H31" s="34"/>
      <c r="I31" s="33" t="s">
        <v>9</v>
      </c>
      <c r="J31" s="220"/>
      <c r="K31" s="37" t="s">
        <v>8</v>
      </c>
      <c r="L31" s="220"/>
      <c r="M31" s="37" t="s">
        <v>8</v>
      </c>
      <c r="N31" s="174"/>
      <c r="O31" s="181"/>
      <c r="P31" s="33" t="s">
        <v>9</v>
      </c>
      <c r="Q31" s="186"/>
      <c r="R31" s="164" t="s">
        <v>9</v>
      </c>
      <c r="S31" s="186"/>
      <c r="T31" s="186"/>
      <c r="U31" s="224" t="s">
        <v>9</v>
      </c>
      <c r="V31" s="169"/>
      <c r="W31" s="29" t="s">
        <v>9</v>
      </c>
      <c r="X31" s="169"/>
      <c r="Y31" s="194" t="s">
        <v>9</v>
      </c>
      <c r="Z31" s="51" t="s">
        <v>8</v>
      </c>
      <c r="AA31" s="182"/>
      <c r="AB31" s="101" t="s">
        <v>9</v>
      </c>
      <c r="AC31" s="187"/>
      <c r="AD31" s="48"/>
      <c r="AE31" s="164" t="s">
        <v>9</v>
      </c>
      <c r="AF31" s="182"/>
      <c r="AG31" s="228" t="s">
        <v>9</v>
      </c>
      <c r="AH31" s="186"/>
      <c r="AI31" s="267"/>
      <c r="AJ31" s="198" t="s">
        <v>8</v>
      </c>
      <c r="AK31" s="247"/>
      <c r="AL31" s="222"/>
      <c r="AM31" s="177">
        <v>156</v>
      </c>
      <c r="AN31" s="235"/>
    </row>
    <row r="32" spans="1:40" ht="21" customHeight="1" x14ac:dyDescent="0.3">
      <c r="A32" s="176"/>
      <c r="B32" s="257"/>
      <c r="C32" s="260" t="s">
        <v>106</v>
      </c>
      <c r="D32" s="3" t="s">
        <v>39</v>
      </c>
      <c r="E32" s="25" t="s">
        <v>37</v>
      </c>
      <c r="F32" s="3">
        <v>36</v>
      </c>
      <c r="G32" s="192">
        <v>13</v>
      </c>
      <c r="H32" s="171" t="s">
        <v>9</v>
      </c>
      <c r="I32" s="33"/>
      <c r="J32" s="33" t="s">
        <v>9</v>
      </c>
      <c r="K32" s="33"/>
      <c r="L32" s="33" t="s">
        <v>9</v>
      </c>
      <c r="M32" s="248"/>
      <c r="N32" s="174"/>
      <c r="O32" s="171" t="s">
        <v>9</v>
      </c>
      <c r="P32" s="37"/>
      <c r="Q32" s="37"/>
      <c r="R32" s="48" t="s">
        <v>9</v>
      </c>
      <c r="S32" s="186"/>
      <c r="T32" s="37" t="s">
        <v>8</v>
      </c>
      <c r="U32" s="169"/>
      <c r="V32" s="169"/>
      <c r="W32" s="29" t="s">
        <v>9</v>
      </c>
      <c r="X32" s="183" t="s">
        <v>8</v>
      </c>
      <c r="Y32" s="169"/>
      <c r="Z32" s="29"/>
      <c r="AA32" s="48"/>
      <c r="AB32" s="227" t="s">
        <v>9</v>
      </c>
      <c r="AC32" s="187"/>
      <c r="AD32" s="164" t="s">
        <v>9</v>
      </c>
      <c r="AE32" s="164"/>
      <c r="AF32" s="164" t="s">
        <v>9</v>
      </c>
      <c r="AG32" s="182"/>
      <c r="AH32" s="186"/>
      <c r="AI32" s="174" t="s">
        <v>9</v>
      </c>
      <c r="AJ32" s="266"/>
      <c r="AK32" s="247"/>
      <c r="AL32" s="202"/>
      <c r="AM32" s="177">
        <v>156</v>
      </c>
      <c r="AN32" s="235"/>
    </row>
    <row r="33" spans="1:40" ht="21" customHeight="1" x14ac:dyDescent="0.3">
      <c r="A33" s="176"/>
      <c r="B33" s="257"/>
      <c r="C33" s="260" t="s">
        <v>107</v>
      </c>
      <c r="D33" s="3" t="s">
        <v>39</v>
      </c>
      <c r="E33" s="25" t="s">
        <v>37</v>
      </c>
      <c r="F33" s="3">
        <v>36</v>
      </c>
      <c r="G33" s="192">
        <v>13</v>
      </c>
      <c r="H33" s="34" t="s">
        <v>9</v>
      </c>
      <c r="I33" s="33"/>
      <c r="J33" s="33" t="s">
        <v>9</v>
      </c>
      <c r="K33" s="37"/>
      <c r="L33" s="261" t="s">
        <v>8</v>
      </c>
      <c r="M33" s="33"/>
      <c r="N33" s="174" t="s">
        <v>9</v>
      </c>
      <c r="O33" s="181"/>
      <c r="P33" s="37"/>
      <c r="Q33" s="220" t="s">
        <v>9</v>
      </c>
      <c r="R33" s="48" t="s">
        <v>9</v>
      </c>
      <c r="S33" s="186"/>
      <c r="T33" s="186"/>
      <c r="U33" s="174"/>
      <c r="V33" s="174" t="s">
        <v>9</v>
      </c>
      <c r="W33" s="186"/>
      <c r="X33" s="169"/>
      <c r="Y33" s="222" t="s">
        <v>9</v>
      </c>
      <c r="Z33" s="29" t="s">
        <v>9</v>
      </c>
      <c r="AA33" s="48"/>
      <c r="AB33" s="169"/>
      <c r="AC33" s="195" t="s">
        <v>9</v>
      </c>
      <c r="AD33" s="220" t="s">
        <v>9</v>
      </c>
      <c r="AE33" s="164"/>
      <c r="AF33" s="220" t="s">
        <v>9</v>
      </c>
      <c r="AG33" s="182"/>
      <c r="AH33" s="186" t="s">
        <v>9</v>
      </c>
      <c r="AI33" s="266"/>
      <c r="AJ33" s="266" t="s">
        <v>9</v>
      </c>
      <c r="AK33" s="247"/>
      <c r="AL33" s="202"/>
      <c r="AM33" s="177">
        <v>156</v>
      </c>
      <c r="AN33" s="235"/>
    </row>
    <row r="34" spans="1:40" ht="21" customHeight="1" x14ac:dyDescent="0.3">
      <c r="A34" s="176"/>
      <c r="B34" s="257"/>
      <c r="C34" s="260" t="s">
        <v>127</v>
      </c>
      <c r="D34" s="3" t="s">
        <v>39</v>
      </c>
      <c r="E34" s="25" t="s">
        <v>37</v>
      </c>
      <c r="F34" s="3">
        <v>36</v>
      </c>
      <c r="G34" s="192">
        <v>13</v>
      </c>
      <c r="H34" s="227"/>
      <c r="I34" s="228" t="s">
        <v>9</v>
      </c>
      <c r="J34" s="228"/>
      <c r="K34" s="285" t="s">
        <v>9</v>
      </c>
      <c r="L34" s="261"/>
      <c r="M34" s="228" t="s">
        <v>9</v>
      </c>
      <c r="N34" s="174"/>
      <c r="O34" s="222" t="s">
        <v>9</v>
      </c>
      <c r="P34" s="37"/>
      <c r="Q34" s="220" t="s">
        <v>9</v>
      </c>
      <c r="R34" s="273"/>
      <c r="S34" s="186" t="s">
        <v>9</v>
      </c>
      <c r="T34" s="220"/>
      <c r="U34" s="174"/>
      <c r="V34" s="274"/>
      <c r="W34" s="220" t="s">
        <v>9</v>
      </c>
      <c r="X34" s="169"/>
      <c r="Y34" s="222" t="s">
        <v>9</v>
      </c>
      <c r="Z34" s="223"/>
      <c r="AA34" s="273" t="s">
        <v>9</v>
      </c>
      <c r="AB34" s="275"/>
      <c r="AC34" s="195"/>
      <c r="AD34" s="220"/>
      <c r="AE34" s="164" t="s">
        <v>9</v>
      </c>
      <c r="AF34" s="220"/>
      <c r="AG34" s="283" t="s">
        <v>9</v>
      </c>
      <c r="AH34" s="186"/>
      <c r="AI34" s="266" t="s">
        <v>9</v>
      </c>
      <c r="AJ34" s="266"/>
      <c r="AK34" s="247" t="s">
        <v>9</v>
      </c>
      <c r="AL34" s="222"/>
      <c r="AM34" s="177">
        <v>156</v>
      </c>
      <c r="AN34" s="235"/>
    </row>
    <row r="35" spans="1:40" ht="21" customHeight="1" x14ac:dyDescent="0.3">
      <c r="A35" s="176"/>
      <c r="B35" s="257"/>
      <c r="C35" s="260" t="s">
        <v>124</v>
      </c>
      <c r="D35" s="3" t="s">
        <v>39</v>
      </c>
      <c r="E35" s="25" t="s">
        <v>37</v>
      </c>
      <c r="F35" s="3">
        <v>36</v>
      </c>
      <c r="G35" s="192">
        <v>13</v>
      </c>
      <c r="H35" s="227"/>
      <c r="I35" s="228" t="s">
        <v>9</v>
      </c>
      <c r="J35" s="228"/>
      <c r="K35" s="238" t="s">
        <v>9</v>
      </c>
      <c r="L35" s="261"/>
      <c r="M35" s="228" t="s">
        <v>9</v>
      </c>
      <c r="N35" s="174"/>
      <c r="O35" s="222" t="s">
        <v>9</v>
      </c>
      <c r="P35" s="37"/>
      <c r="Q35" s="220" t="s">
        <v>9</v>
      </c>
      <c r="R35" s="273"/>
      <c r="S35" s="186" t="s">
        <v>9</v>
      </c>
      <c r="T35" s="220"/>
      <c r="U35" s="174" t="s">
        <v>9</v>
      </c>
      <c r="V35" s="274"/>
      <c r="W35" s="220" t="s">
        <v>9</v>
      </c>
      <c r="X35" s="169"/>
      <c r="Y35" s="222" t="s">
        <v>9</v>
      </c>
      <c r="Z35" s="223"/>
      <c r="AA35" s="273" t="s">
        <v>9</v>
      </c>
      <c r="AB35" s="275"/>
      <c r="AC35" s="195"/>
      <c r="AD35" s="220" t="s">
        <v>9</v>
      </c>
      <c r="AE35" s="164"/>
      <c r="AF35" s="220"/>
      <c r="AG35" s="276" t="s">
        <v>9</v>
      </c>
      <c r="AH35" s="186"/>
      <c r="AI35" s="266"/>
      <c r="AJ35" s="266" t="s">
        <v>9</v>
      </c>
      <c r="AK35" s="247"/>
      <c r="AL35" s="222"/>
      <c r="AM35" s="177">
        <v>156</v>
      </c>
      <c r="AN35" s="235"/>
    </row>
    <row r="36" spans="1:40" ht="21" customHeight="1" x14ac:dyDescent="0.3">
      <c r="A36" s="28">
        <v>1142</v>
      </c>
      <c r="B36" s="28">
        <v>1817180</v>
      </c>
      <c r="C36" s="191" t="s">
        <v>98</v>
      </c>
      <c r="D36" s="3" t="s">
        <v>39</v>
      </c>
      <c r="E36" s="25" t="s">
        <v>37</v>
      </c>
      <c r="F36" s="3">
        <v>36</v>
      </c>
      <c r="G36" s="192">
        <f t="shared" si="2"/>
        <v>13</v>
      </c>
      <c r="H36" s="205"/>
      <c r="I36" s="185" t="s">
        <v>9</v>
      </c>
      <c r="J36" s="188"/>
      <c r="K36" s="37" t="s">
        <v>8</v>
      </c>
      <c r="L36" s="188"/>
      <c r="M36" s="249" t="s">
        <v>9</v>
      </c>
      <c r="N36" s="174" t="s">
        <v>9</v>
      </c>
      <c r="O36" s="189"/>
      <c r="P36" s="37" t="s">
        <v>8</v>
      </c>
      <c r="Q36" s="188"/>
      <c r="R36" s="188"/>
      <c r="S36" s="193" t="s">
        <v>9</v>
      </c>
      <c r="T36" s="188"/>
      <c r="U36" s="197" t="s">
        <v>8</v>
      </c>
      <c r="V36" s="189"/>
      <c r="W36" s="188"/>
      <c r="X36" s="195" t="s">
        <v>9</v>
      </c>
      <c r="Y36" s="189"/>
      <c r="Z36" s="37" t="s">
        <v>8</v>
      </c>
      <c r="AA36" s="188"/>
      <c r="AB36" s="189"/>
      <c r="AC36" s="195" t="s">
        <v>9</v>
      </c>
      <c r="AD36" s="188"/>
      <c r="AE36" s="37" t="s">
        <v>8</v>
      </c>
      <c r="AF36" s="188"/>
      <c r="AG36" s="188"/>
      <c r="AH36" s="164" t="s">
        <v>9</v>
      </c>
      <c r="AI36" s="266"/>
      <c r="AJ36" s="266"/>
      <c r="AK36" s="164" t="s">
        <v>9</v>
      </c>
      <c r="AL36" s="203"/>
      <c r="AM36" s="177">
        <f t="shared" si="3"/>
        <v>156</v>
      </c>
    </row>
    <row r="37" spans="1:40" ht="68.25" customHeight="1" x14ac:dyDescent="0.25">
      <c r="A37" s="598" t="s">
        <v>1</v>
      </c>
      <c r="B37" s="554"/>
      <c r="C37" s="554"/>
      <c r="D37" s="554"/>
      <c r="E37" s="554"/>
      <c r="F37" s="554"/>
      <c r="G37" s="554"/>
      <c r="H37" s="554"/>
      <c r="I37" s="554"/>
      <c r="J37" s="554"/>
      <c r="K37" s="554"/>
      <c r="L37" s="554"/>
      <c r="M37" s="554"/>
      <c r="N37" s="555"/>
      <c r="O37" s="591" t="s">
        <v>60</v>
      </c>
      <c r="P37" s="592"/>
      <c r="Q37" s="592"/>
      <c r="R37" s="592"/>
      <c r="S37" s="592"/>
      <c r="T37" s="592"/>
      <c r="U37" s="592"/>
      <c r="V37" s="592"/>
      <c r="W37" s="592"/>
      <c r="X37" s="592"/>
      <c r="Y37" s="593"/>
      <c r="Z37" s="178" t="s">
        <v>61</v>
      </c>
      <c r="AA37" s="592" t="s">
        <v>62</v>
      </c>
      <c r="AB37" s="592"/>
      <c r="AC37" s="592"/>
      <c r="AD37" s="592"/>
      <c r="AE37" s="592"/>
      <c r="AF37" s="592"/>
      <c r="AG37" s="592"/>
      <c r="AH37" s="592"/>
      <c r="AI37" s="592"/>
      <c r="AJ37" s="592"/>
      <c r="AK37" s="592"/>
      <c r="AL37" s="592"/>
      <c r="AM37" s="179"/>
    </row>
    <row r="38" spans="1:40" ht="39.75" customHeight="1" x14ac:dyDescent="0.25">
      <c r="C38" s="588" t="s">
        <v>0</v>
      </c>
      <c r="H38" s="590"/>
      <c r="I38" s="590"/>
      <c r="J38" s="590"/>
      <c r="K38" s="590"/>
      <c r="L38" s="590"/>
      <c r="M38" s="590"/>
      <c r="N38" s="590"/>
      <c r="O38" s="590"/>
      <c r="P38" s="590"/>
      <c r="Q38" s="590"/>
      <c r="R38" s="590"/>
      <c r="S38" s="590"/>
      <c r="T38" s="590"/>
      <c r="U38" s="590"/>
      <c r="V38" s="590"/>
      <c r="W38" s="590"/>
      <c r="X38" s="590"/>
      <c r="Y38" s="590"/>
      <c r="Z38" s="590"/>
      <c r="AA38" s="590"/>
      <c r="AB38" s="590"/>
      <c r="AC38" s="590"/>
      <c r="AD38" s="590"/>
      <c r="AE38" s="590"/>
      <c r="AF38" s="590"/>
      <c r="AG38" s="590"/>
      <c r="AH38" s="590"/>
      <c r="AI38" s="590"/>
      <c r="AJ38" s="590"/>
      <c r="AK38" s="590"/>
      <c r="AL38" s="590"/>
    </row>
    <row r="39" spans="1:40" x14ac:dyDescent="0.25">
      <c r="C39" s="589"/>
    </row>
    <row r="40" spans="1:40" ht="24" customHeight="1" x14ac:dyDescent="0.25">
      <c r="C40" s="554"/>
    </row>
  </sheetData>
  <mergeCells count="11">
    <mergeCell ref="A1:C1"/>
    <mergeCell ref="D1:AH1"/>
    <mergeCell ref="AL1:AM1"/>
    <mergeCell ref="A2:A3"/>
    <mergeCell ref="C2:F3"/>
    <mergeCell ref="H2:AM2"/>
    <mergeCell ref="A37:N37"/>
    <mergeCell ref="O37:Y37"/>
    <mergeCell ref="AA37:AL37"/>
    <mergeCell ref="C38:C40"/>
    <mergeCell ref="H38:AL3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ED40-1452-4008-AD3B-05C9052481DE}">
  <dimension ref="A1:AM38"/>
  <sheetViews>
    <sheetView topLeftCell="A16" zoomScale="78" zoomScaleNormal="78" workbookViewId="0">
      <selection activeCell="A30" sqref="A30:F34"/>
    </sheetView>
  </sheetViews>
  <sheetFormatPr defaultRowHeight="13.2" x14ac:dyDescent="0.25"/>
  <cols>
    <col min="1" max="2" width="11.109375" customWidth="1"/>
    <col min="3" max="3" width="27" customWidth="1"/>
    <col min="4" max="4" width="13.6640625" customWidth="1"/>
    <col min="5" max="5" width="6.6640625" style="77" customWidth="1"/>
    <col min="6" max="6" width="3.77734375" style="79" customWidth="1"/>
    <col min="7" max="7" width="6" bestFit="1" customWidth="1"/>
    <col min="8" max="8" width="5.109375" bestFit="1" customWidth="1"/>
    <col min="9" max="10" width="4.44140625" bestFit="1" customWidth="1"/>
    <col min="11" max="11" width="4.109375" bestFit="1" customWidth="1"/>
    <col min="12" max="12" width="3.77734375" bestFit="1" customWidth="1"/>
    <col min="13" max="13" width="4.109375" bestFit="1" customWidth="1"/>
    <col min="14" max="14" width="4.6640625" bestFit="1" customWidth="1"/>
    <col min="15" max="15" width="5.109375" bestFit="1" customWidth="1"/>
    <col min="16" max="16" width="4.44140625" bestFit="1" customWidth="1"/>
    <col min="17" max="21" width="4.77734375" bestFit="1" customWidth="1"/>
    <col min="22" max="22" width="5.109375" bestFit="1" customWidth="1"/>
    <col min="23" max="28" width="4.77734375" bestFit="1" customWidth="1"/>
    <col min="29" max="29" width="5.109375" bestFit="1" customWidth="1"/>
    <col min="30" max="34" width="4.77734375" bestFit="1" customWidth="1"/>
    <col min="35" max="37" width="4.77734375" customWidth="1"/>
    <col min="38" max="38" width="10.6640625" customWidth="1"/>
  </cols>
  <sheetData>
    <row r="1" spans="1:39" ht="47.25" customHeight="1" x14ac:dyDescent="0.25">
      <c r="A1" s="67"/>
      <c r="B1" s="67"/>
      <c r="C1" s="67"/>
      <c r="D1" s="583" t="s">
        <v>69</v>
      </c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5"/>
      <c r="AI1" s="229"/>
      <c r="AJ1" s="229"/>
      <c r="AK1" s="229"/>
      <c r="AL1" s="286"/>
    </row>
    <row r="2" spans="1:39" ht="12" customHeight="1" x14ac:dyDescent="0.2">
      <c r="A2" s="565" t="s">
        <v>12</v>
      </c>
      <c r="B2" s="252"/>
      <c r="C2" s="567" t="s">
        <v>13</v>
      </c>
      <c r="D2" s="568"/>
      <c r="E2" s="568"/>
      <c r="F2" s="569"/>
      <c r="G2" s="68"/>
      <c r="H2" s="573"/>
      <c r="I2" s="574"/>
      <c r="J2" s="574"/>
      <c r="K2" s="575"/>
      <c r="L2" s="573"/>
      <c r="M2" s="574"/>
      <c r="N2" s="574"/>
      <c r="O2" s="574"/>
      <c r="P2" s="575"/>
      <c r="Q2" s="579" t="s">
        <v>100</v>
      </c>
      <c r="R2" s="580"/>
      <c r="S2" s="580"/>
      <c r="T2" s="580"/>
      <c r="U2" s="580"/>
      <c r="V2" s="580"/>
      <c r="W2" s="580"/>
      <c r="X2" s="580"/>
      <c r="Y2" s="580"/>
      <c r="Z2" s="580"/>
      <c r="AA2" s="580"/>
      <c r="AB2" s="580"/>
      <c r="AC2" s="580"/>
      <c r="AD2" s="580"/>
      <c r="AE2" s="580"/>
      <c r="AF2" s="580"/>
      <c r="AG2" s="580"/>
      <c r="AH2" s="580"/>
      <c r="AI2" s="580"/>
      <c r="AJ2" s="580"/>
      <c r="AK2" s="580"/>
      <c r="AL2" s="68"/>
    </row>
    <row r="3" spans="1:39" ht="0.75" customHeight="1" x14ac:dyDescent="0.2">
      <c r="A3" s="566"/>
      <c r="B3" s="253"/>
      <c r="C3" s="570"/>
      <c r="D3" s="571"/>
      <c r="E3" s="571"/>
      <c r="F3" s="572"/>
      <c r="G3" s="68"/>
      <c r="H3" s="81" t="str">
        <f t="shared" ref="H3:AH3" si="0">UPPER(TEXT(H5,"DDD"))</f>
        <v>QUA</v>
      </c>
      <c r="I3" s="81" t="str">
        <f t="shared" si="0"/>
        <v>QUI</v>
      </c>
      <c r="J3" s="81" t="str">
        <f t="shared" si="0"/>
        <v>SEX</v>
      </c>
      <c r="K3" s="81" t="str">
        <f t="shared" si="0"/>
        <v>SÁB</v>
      </c>
      <c r="L3" s="81" t="str">
        <f t="shared" si="0"/>
        <v>DOM</v>
      </c>
      <c r="M3" s="81" t="str">
        <f t="shared" si="0"/>
        <v>SEG</v>
      </c>
      <c r="N3" s="81" t="str">
        <f t="shared" si="0"/>
        <v>TER</v>
      </c>
      <c r="O3" s="81" t="str">
        <f t="shared" si="0"/>
        <v>QUA</v>
      </c>
      <c r="P3" s="81" t="str">
        <f t="shared" si="0"/>
        <v>QUI</v>
      </c>
      <c r="Q3" s="81" t="str">
        <f t="shared" si="0"/>
        <v>SEX</v>
      </c>
      <c r="R3" s="81" t="str">
        <f t="shared" si="0"/>
        <v>SÁB</v>
      </c>
      <c r="S3" s="81" t="str">
        <f t="shared" si="0"/>
        <v>DOM</v>
      </c>
      <c r="T3" s="81" t="str">
        <f t="shared" si="0"/>
        <v>SEG</v>
      </c>
      <c r="U3" s="81" t="str">
        <f t="shared" si="0"/>
        <v>TER</v>
      </c>
      <c r="V3" s="81" t="str">
        <f t="shared" si="0"/>
        <v>QUA</v>
      </c>
      <c r="W3" s="81" t="str">
        <f t="shared" si="0"/>
        <v>QUI</v>
      </c>
      <c r="X3" s="81" t="str">
        <f t="shared" si="0"/>
        <v>SEX</v>
      </c>
      <c r="Y3" s="81" t="str">
        <f t="shared" si="0"/>
        <v>SÁB</v>
      </c>
      <c r="Z3" s="81" t="str">
        <f t="shared" si="0"/>
        <v>DOM</v>
      </c>
      <c r="AA3" s="81" t="str">
        <f t="shared" si="0"/>
        <v>SEG</v>
      </c>
      <c r="AB3" s="81" t="str">
        <f t="shared" si="0"/>
        <v>TER</v>
      </c>
      <c r="AC3" s="81" t="str">
        <f t="shared" si="0"/>
        <v>QUA</v>
      </c>
      <c r="AD3" s="81" t="str">
        <f t="shared" si="0"/>
        <v>QUI</v>
      </c>
      <c r="AE3" s="81" t="str">
        <f t="shared" si="0"/>
        <v>SEX</v>
      </c>
      <c r="AF3" s="81" t="str">
        <f t="shared" si="0"/>
        <v>SÁB</v>
      </c>
      <c r="AG3" s="81" t="str">
        <f t="shared" si="0"/>
        <v>DOM</v>
      </c>
      <c r="AH3" s="81" t="str">
        <f t="shared" si="0"/>
        <v>SEG</v>
      </c>
      <c r="AI3" s="81"/>
      <c r="AJ3" s="81"/>
      <c r="AK3" s="81"/>
      <c r="AL3" s="69" t="s">
        <v>16</v>
      </c>
    </row>
    <row r="4" spans="1:39" ht="12" customHeight="1" x14ac:dyDescent="0.2">
      <c r="A4" s="66"/>
      <c r="B4" s="66"/>
      <c r="C4" s="69"/>
      <c r="D4" s="69"/>
      <c r="E4" s="69"/>
      <c r="F4" s="69"/>
      <c r="G4" s="68"/>
      <c r="H4" s="81" t="str">
        <f t="shared" ref="H4:AH4" si="1">UPPER(TEXT(H5,"DDD"))</f>
        <v>QUA</v>
      </c>
      <c r="I4" s="81" t="str">
        <f t="shared" si="1"/>
        <v>QUI</v>
      </c>
      <c r="J4" s="81" t="str">
        <f t="shared" si="1"/>
        <v>SEX</v>
      </c>
      <c r="K4" s="93" t="str">
        <f t="shared" si="1"/>
        <v>SÁB</v>
      </c>
      <c r="L4" s="81" t="str">
        <f t="shared" si="1"/>
        <v>DOM</v>
      </c>
      <c r="M4" s="81" t="str">
        <f t="shared" si="1"/>
        <v>SEG</v>
      </c>
      <c r="N4" s="81" t="str">
        <f t="shared" si="1"/>
        <v>TER</v>
      </c>
      <c r="O4" s="81" t="str">
        <f t="shared" si="1"/>
        <v>QUA</v>
      </c>
      <c r="P4" s="81" t="str">
        <f t="shared" si="1"/>
        <v>QUI</v>
      </c>
      <c r="Q4" s="81" t="str">
        <f t="shared" si="1"/>
        <v>SEX</v>
      </c>
      <c r="R4" s="81" t="str">
        <f t="shared" si="1"/>
        <v>SÁB</v>
      </c>
      <c r="S4" s="81" t="str">
        <f t="shared" si="1"/>
        <v>DOM</v>
      </c>
      <c r="T4" s="81" t="str">
        <f t="shared" si="1"/>
        <v>SEG</v>
      </c>
      <c r="U4" s="81" t="str">
        <f t="shared" si="1"/>
        <v>TER</v>
      </c>
      <c r="V4" s="81" t="str">
        <f t="shared" si="1"/>
        <v>QUA</v>
      </c>
      <c r="W4" s="81" t="str">
        <f t="shared" si="1"/>
        <v>QUI</v>
      </c>
      <c r="X4" s="81" t="str">
        <f t="shared" si="1"/>
        <v>SEX</v>
      </c>
      <c r="Y4" s="81" t="str">
        <f t="shared" si="1"/>
        <v>SÁB</v>
      </c>
      <c r="Z4" s="81" t="str">
        <f t="shared" si="1"/>
        <v>DOM</v>
      </c>
      <c r="AA4" s="81" t="str">
        <f t="shared" si="1"/>
        <v>SEG</v>
      </c>
      <c r="AB4" s="81" t="str">
        <f t="shared" si="1"/>
        <v>TER</v>
      </c>
      <c r="AC4" s="81" t="str">
        <f t="shared" si="1"/>
        <v>QUA</v>
      </c>
      <c r="AD4" s="81" t="str">
        <f t="shared" si="1"/>
        <v>QUI</v>
      </c>
      <c r="AE4" s="81" t="str">
        <f t="shared" si="1"/>
        <v>SEX</v>
      </c>
      <c r="AF4" s="81" t="str">
        <f t="shared" si="1"/>
        <v>SÁB</v>
      </c>
      <c r="AG4" s="81" t="str">
        <f t="shared" si="1"/>
        <v>DOM</v>
      </c>
      <c r="AH4" s="81" t="str">
        <f t="shared" si="1"/>
        <v>SEG</v>
      </c>
      <c r="AI4" s="81" t="s">
        <v>119</v>
      </c>
      <c r="AJ4" s="81" t="s">
        <v>130</v>
      </c>
      <c r="AK4" s="81" t="s">
        <v>131</v>
      </c>
      <c r="AL4" s="69"/>
    </row>
    <row r="5" spans="1:39" ht="21" customHeight="1" x14ac:dyDescent="0.25">
      <c r="A5" s="75" t="s">
        <v>17</v>
      </c>
      <c r="B5" s="75" t="s">
        <v>120</v>
      </c>
      <c r="C5" s="65" t="s">
        <v>32</v>
      </c>
      <c r="D5" s="70" t="s">
        <v>4</v>
      </c>
      <c r="E5" s="74" t="s">
        <v>5</v>
      </c>
      <c r="F5" s="75" t="s">
        <v>6</v>
      </c>
      <c r="G5" s="80" t="s">
        <v>78</v>
      </c>
      <c r="H5" s="296">
        <v>46113</v>
      </c>
      <c r="I5" s="296">
        <f>H5+1</f>
        <v>46114</v>
      </c>
      <c r="J5" s="296">
        <f t="shared" ref="J5:AH5" si="2">I5+1</f>
        <v>46115</v>
      </c>
      <c r="K5" s="296">
        <f t="shared" si="2"/>
        <v>46116</v>
      </c>
      <c r="L5" s="296">
        <f t="shared" si="2"/>
        <v>46117</v>
      </c>
      <c r="M5" s="296">
        <f t="shared" si="2"/>
        <v>46118</v>
      </c>
      <c r="N5" s="296">
        <f t="shared" si="2"/>
        <v>46119</v>
      </c>
      <c r="O5" s="296">
        <f t="shared" si="2"/>
        <v>46120</v>
      </c>
      <c r="P5" s="296">
        <f t="shared" si="2"/>
        <v>46121</v>
      </c>
      <c r="Q5" s="296">
        <f t="shared" si="2"/>
        <v>46122</v>
      </c>
      <c r="R5" s="296">
        <f t="shared" si="2"/>
        <v>46123</v>
      </c>
      <c r="S5" s="296">
        <f t="shared" si="2"/>
        <v>46124</v>
      </c>
      <c r="T5" s="296">
        <f t="shared" si="2"/>
        <v>46125</v>
      </c>
      <c r="U5" s="364">
        <f t="shared" si="2"/>
        <v>46126</v>
      </c>
      <c r="V5" s="296">
        <f t="shared" si="2"/>
        <v>46127</v>
      </c>
      <c r="W5" s="296">
        <f t="shared" si="2"/>
        <v>46128</v>
      </c>
      <c r="X5" s="296">
        <f t="shared" si="2"/>
        <v>46129</v>
      </c>
      <c r="Y5" s="296">
        <f t="shared" si="2"/>
        <v>46130</v>
      </c>
      <c r="Z5" s="296">
        <f t="shared" si="2"/>
        <v>46131</v>
      </c>
      <c r="AA5" s="296">
        <f t="shared" si="2"/>
        <v>46132</v>
      </c>
      <c r="AB5" s="296">
        <f t="shared" si="2"/>
        <v>46133</v>
      </c>
      <c r="AC5" s="296">
        <f t="shared" si="2"/>
        <v>46134</v>
      </c>
      <c r="AD5" s="296">
        <f t="shared" si="2"/>
        <v>46135</v>
      </c>
      <c r="AE5" s="296">
        <f t="shared" si="2"/>
        <v>46136</v>
      </c>
      <c r="AF5" s="296">
        <f t="shared" si="2"/>
        <v>46137</v>
      </c>
      <c r="AG5" s="296">
        <f t="shared" si="2"/>
        <v>46138</v>
      </c>
      <c r="AH5" s="296">
        <f t="shared" si="2"/>
        <v>46139</v>
      </c>
      <c r="AI5" s="296">
        <v>46140</v>
      </c>
      <c r="AJ5" s="296">
        <v>46141</v>
      </c>
      <c r="AK5" s="296">
        <v>46142</v>
      </c>
      <c r="AL5" s="71" t="s">
        <v>2</v>
      </c>
    </row>
    <row r="6" spans="1:39" ht="18" customHeight="1" x14ac:dyDescent="0.2">
      <c r="A6" s="73">
        <v>17186</v>
      </c>
      <c r="B6" s="73">
        <v>942270</v>
      </c>
      <c r="C6" s="350" t="s">
        <v>33</v>
      </c>
      <c r="D6" s="76" t="s">
        <v>18</v>
      </c>
      <c r="E6" s="76" t="s">
        <v>19</v>
      </c>
      <c r="F6" s="78">
        <v>36</v>
      </c>
      <c r="G6" s="91">
        <v>12</v>
      </c>
      <c r="H6" s="214"/>
      <c r="I6" s="215"/>
      <c r="J6" s="214" t="s">
        <v>9</v>
      </c>
      <c r="K6" s="218" t="s">
        <v>8</v>
      </c>
      <c r="L6" s="218"/>
      <c r="M6" s="357" t="s">
        <v>8</v>
      </c>
      <c r="N6" s="214" t="s">
        <v>9</v>
      </c>
      <c r="O6" s="214"/>
      <c r="P6" s="215" t="s">
        <v>9</v>
      </c>
      <c r="Q6" s="357"/>
      <c r="R6" s="214"/>
      <c r="S6" s="215"/>
      <c r="T6" s="357" t="s">
        <v>8</v>
      </c>
      <c r="U6" s="215"/>
      <c r="V6" s="357"/>
      <c r="W6" s="215"/>
      <c r="X6" s="214"/>
      <c r="Y6" s="357" t="s">
        <v>8</v>
      </c>
      <c r="Z6" s="356" t="s">
        <v>9</v>
      </c>
      <c r="AA6" s="215"/>
      <c r="AB6" s="214"/>
      <c r="AC6" s="214"/>
      <c r="AD6" s="357" t="s">
        <v>8</v>
      </c>
      <c r="AE6" s="218"/>
      <c r="AF6" s="214"/>
      <c r="AG6" s="215" t="s">
        <v>9</v>
      </c>
      <c r="AH6" s="214"/>
      <c r="AI6" s="357" t="s">
        <v>8</v>
      </c>
      <c r="AJ6" s="354"/>
      <c r="AK6" s="357" t="s">
        <v>8</v>
      </c>
      <c r="AL6" s="211">
        <f t="shared" ref="AL6:AL22" si="3">SUMPRODUCT((H6:AK6="SD")*12 + (H6:AK6="SN")*12 + (H6:AK6="MT")*8 + (H6:AK6="M")*6 + (H6:AK6="T")*6)</f>
        <v>144</v>
      </c>
      <c r="AM6" s="235"/>
    </row>
    <row r="7" spans="1:39" ht="18" customHeight="1" x14ac:dyDescent="0.2">
      <c r="A7" s="73">
        <v>1124</v>
      </c>
      <c r="B7" s="73"/>
      <c r="C7" s="63" t="s">
        <v>85</v>
      </c>
      <c r="D7" s="76" t="s">
        <v>18</v>
      </c>
      <c r="E7" s="76" t="s">
        <v>19</v>
      </c>
      <c r="F7" s="78">
        <v>36</v>
      </c>
      <c r="G7" s="91">
        <f t="array" ref="G7">SUMPRODUCT((H7:AK7="SD")+(H7:AK7="SN")+(H7:AK7="MT")+(H7:AK7="8H")+(H7:AK7="N")+(H7:AK7="M")+(H7:AK7="T")+(H7:AK7="AE")+(H7:AK7="AB")+(H7:AK7="AA")+(H7:AK7="FC"))</f>
        <v>12</v>
      </c>
      <c r="H7" s="107"/>
      <c r="I7" s="56"/>
      <c r="J7" s="330" t="s">
        <v>9</v>
      </c>
      <c r="K7" s="329"/>
      <c r="L7" s="329" t="s">
        <v>8</v>
      </c>
      <c r="M7" s="108"/>
      <c r="N7" s="107" t="s">
        <v>9</v>
      </c>
      <c r="O7" s="149"/>
      <c r="P7" s="149" t="s">
        <v>8</v>
      </c>
      <c r="Q7" s="107"/>
      <c r="R7" s="330"/>
      <c r="S7" s="328" t="s">
        <v>9</v>
      </c>
      <c r="T7" s="107"/>
      <c r="U7" s="149" t="s">
        <v>8</v>
      </c>
      <c r="V7" s="107"/>
      <c r="W7" s="149"/>
      <c r="X7" s="107" t="s">
        <v>9</v>
      </c>
      <c r="Y7" s="328"/>
      <c r="Z7" s="329" t="s">
        <v>8</v>
      </c>
      <c r="AA7" s="108"/>
      <c r="AB7" s="330"/>
      <c r="AC7" s="107" t="s">
        <v>9</v>
      </c>
      <c r="AD7" s="108"/>
      <c r="AE7" s="149" t="s">
        <v>8</v>
      </c>
      <c r="AF7" s="330"/>
      <c r="AG7" s="328"/>
      <c r="AH7" s="57" t="s">
        <v>9</v>
      </c>
      <c r="AI7" s="107"/>
      <c r="AJ7" s="290" t="s">
        <v>8</v>
      </c>
      <c r="AK7" s="57"/>
      <c r="AL7" s="211">
        <f t="shared" si="3"/>
        <v>144</v>
      </c>
      <c r="AM7" s="235"/>
    </row>
    <row r="8" spans="1:39" ht="18" customHeight="1" x14ac:dyDescent="0.25">
      <c r="A8" s="72">
        <v>1119</v>
      </c>
      <c r="B8" s="72"/>
      <c r="C8" s="63" t="s">
        <v>82</v>
      </c>
      <c r="D8" s="76" t="s">
        <v>18</v>
      </c>
      <c r="E8" s="76" t="s">
        <v>19</v>
      </c>
      <c r="F8" s="78">
        <v>36</v>
      </c>
      <c r="G8" s="91">
        <f t="array" ref="G8">SUMPRODUCT((H8:AK8="SD")+(H8:AK8="SN")+(H8:AK8="MT")+(H8:AK8="8H")+(H8:AK8="N")+(H8:AK8="M")+(H8:AK8="T")+(H8:AK8="AE")+(H8:AK8="AB")+(H8:AK8="AA")+(H8:AK8="FC"))</f>
        <v>12</v>
      </c>
      <c r="H8" s="107"/>
      <c r="I8" s="56"/>
      <c r="J8" s="328" t="s">
        <v>9</v>
      </c>
      <c r="K8" s="329"/>
      <c r="L8" s="349" t="s">
        <v>8</v>
      </c>
      <c r="M8" s="108"/>
      <c r="N8" s="107" t="s">
        <v>9</v>
      </c>
      <c r="O8" s="108"/>
      <c r="P8" s="149" t="s">
        <v>8</v>
      </c>
      <c r="Q8" s="108"/>
      <c r="R8" s="330"/>
      <c r="S8" s="328" t="s">
        <v>9</v>
      </c>
      <c r="T8" s="108"/>
      <c r="U8" s="149" t="s">
        <v>8</v>
      </c>
      <c r="V8" s="108"/>
      <c r="W8" s="107"/>
      <c r="X8" s="107" t="s">
        <v>9</v>
      </c>
      <c r="Y8" s="328"/>
      <c r="Z8" s="329" t="s">
        <v>8</v>
      </c>
      <c r="AA8" s="108"/>
      <c r="AB8" s="330"/>
      <c r="AC8" s="107" t="s">
        <v>9</v>
      </c>
      <c r="AD8" s="108"/>
      <c r="AE8" s="149" t="s">
        <v>8</v>
      </c>
      <c r="AF8" s="330"/>
      <c r="AG8" s="328"/>
      <c r="AH8" s="57" t="s">
        <v>9</v>
      </c>
      <c r="AI8" s="107"/>
      <c r="AJ8" s="290" t="s">
        <v>8</v>
      </c>
      <c r="AK8" s="57"/>
      <c r="AL8" s="211">
        <f t="shared" si="3"/>
        <v>144</v>
      </c>
      <c r="AM8" s="235"/>
    </row>
    <row r="9" spans="1:39" ht="18" customHeight="1" x14ac:dyDescent="0.2">
      <c r="A9" s="73">
        <v>178</v>
      </c>
      <c r="B9" s="73">
        <v>1420472</v>
      </c>
      <c r="C9" s="289" t="s">
        <v>73</v>
      </c>
      <c r="D9" s="157" t="s">
        <v>18</v>
      </c>
      <c r="E9" s="76" t="s">
        <v>19</v>
      </c>
      <c r="F9" s="78">
        <v>36</v>
      </c>
      <c r="G9" s="91">
        <f t="array" ref="G9">SUMPRODUCT((H9:AK9="SD")+(H9:AK9="SN")+(H9:AK9="MT")+(H9:AK9="8H")+(H9:AK9="N")+(H9:AK9="M")+(H9:AK9="T")+(H9:AK9="AE")+(H9:AK9="AB")+(H9:AK9="AA")+(H9:AK9="FC"))</f>
        <v>12</v>
      </c>
      <c r="H9" s="90"/>
      <c r="I9" s="89" t="s">
        <v>9</v>
      </c>
      <c r="J9" s="328"/>
      <c r="K9" s="329" t="s">
        <v>8</v>
      </c>
      <c r="L9" s="329"/>
      <c r="M9" s="149"/>
      <c r="N9" s="107"/>
      <c r="O9" s="108" t="s">
        <v>9</v>
      </c>
      <c r="P9" s="149"/>
      <c r="Q9" s="290" t="s">
        <v>8</v>
      </c>
      <c r="R9" s="329"/>
      <c r="S9" s="328"/>
      <c r="T9" s="108" t="s">
        <v>9</v>
      </c>
      <c r="U9" s="149"/>
      <c r="V9" s="290" t="s">
        <v>8</v>
      </c>
      <c r="W9" s="149"/>
      <c r="X9" s="107"/>
      <c r="Y9" s="328" t="s">
        <v>9</v>
      </c>
      <c r="Z9" s="329"/>
      <c r="AA9" s="290" t="s">
        <v>8</v>
      </c>
      <c r="AB9" s="329"/>
      <c r="AC9" s="107"/>
      <c r="AD9" s="108" t="s">
        <v>9</v>
      </c>
      <c r="AE9" s="149"/>
      <c r="AF9" s="349" t="s">
        <v>8</v>
      </c>
      <c r="AG9" s="329"/>
      <c r="AH9" s="57"/>
      <c r="AI9" s="107" t="s">
        <v>9</v>
      </c>
      <c r="AJ9" s="290"/>
      <c r="AK9" s="293" t="s">
        <v>8</v>
      </c>
      <c r="AL9" s="211">
        <f t="shared" si="3"/>
        <v>144</v>
      </c>
      <c r="AM9" s="235"/>
    </row>
    <row r="10" spans="1:39" ht="18" customHeight="1" x14ac:dyDescent="0.2">
      <c r="A10" s="73">
        <v>11863</v>
      </c>
      <c r="B10" s="73">
        <v>1288521</v>
      </c>
      <c r="C10" s="156" t="s">
        <v>91</v>
      </c>
      <c r="D10" s="157" t="s">
        <v>18</v>
      </c>
      <c r="E10" s="76" t="s">
        <v>19</v>
      </c>
      <c r="F10" s="78">
        <v>36</v>
      </c>
      <c r="G10" s="91">
        <f t="array" ref="G10">SUMPRODUCT((H10:AK10="SD")+(H10:AK10="SN")+(H10:AK10="MT")+(H10:AK10="8H")+(H10:AK10="N")+(H10:AK10="M")+(H10:AK10="T")+(H10:AK10="AE")+(H10:AK10="AB")+(H10:AK10="AA")+(H10:AK10="FC"))</f>
        <v>11</v>
      </c>
      <c r="H10" s="95"/>
      <c r="I10" s="87"/>
      <c r="J10" s="328"/>
      <c r="K10" s="329" t="s">
        <v>8</v>
      </c>
      <c r="L10" s="328"/>
      <c r="M10" s="108"/>
      <c r="N10" s="107" t="s">
        <v>9</v>
      </c>
      <c r="O10" s="108"/>
      <c r="P10" s="149" t="s">
        <v>8</v>
      </c>
      <c r="Q10" s="108"/>
      <c r="R10" s="330"/>
      <c r="S10" s="328" t="s">
        <v>9</v>
      </c>
      <c r="T10" s="108"/>
      <c r="U10" s="149" t="s">
        <v>8</v>
      </c>
      <c r="V10" s="108"/>
      <c r="W10" s="107"/>
      <c r="X10" s="107" t="s">
        <v>9</v>
      </c>
      <c r="Y10" s="328"/>
      <c r="Z10" s="329" t="s">
        <v>8</v>
      </c>
      <c r="AA10" s="108"/>
      <c r="AB10" s="330" t="s">
        <v>9</v>
      </c>
      <c r="AC10" s="107"/>
      <c r="AD10" s="108" t="s">
        <v>9</v>
      </c>
      <c r="AE10" s="149"/>
      <c r="AF10" s="349" t="s">
        <v>8</v>
      </c>
      <c r="AG10" s="328"/>
      <c r="AH10" s="57" t="s">
        <v>9</v>
      </c>
      <c r="AI10" s="107"/>
      <c r="AJ10" s="290" t="s">
        <v>134</v>
      </c>
      <c r="AK10" s="57"/>
      <c r="AL10" s="211">
        <f t="shared" si="3"/>
        <v>132</v>
      </c>
      <c r="AM10" s="235"/>
    </row>
    <row r="11" spans="1:39" ht="13.8" x14ac:dyDescent="0.2">
      <c r="A11" s="73">
        <v>1186</v>
      </c>
      <c r="B11" s="73">
        <v>368611</v>
      </c>
      <c r="C11" s="63" t="s">
        <v>68</v>
      </c>
      <c r="D11" s="76" t="s">
        <v>18</v>
      </c>
      <c r="E11" s="76" t="s">
        <v>19</v>
      </c>
      <c r="F11" s="78">
        <v>36</v>
      </c>
      <c r="G11" s="91">
        <f t="array" ref="G11">SUMPRODUCT((H11:AK11="SD")+(H11:AK11="SN")+(H11:AK11="MT")+(H11:AK11="8H")+(H11:AK11="N")+(H11:AK11="M")+(H11:AK11="T")+(H11:AK11="AE")+(H11:AK11="AB")+(H11:AK11="AA")+(H11:AK11="FC"))</f>
        <v>12</v>
      </c>
      <c r="H11" s="107" t="s">
        <v>9</v>
      </c>
      <c r="I11" s="64"/>
      <c r="J11" s="331" t="s">
        <v>8</v>
      </c>
      <c r="K11" s="330"/>
      <c r="L11" s="330"/>
      <c r="M11" s="57" t="s">
        <v>9</v>
      </c>
      <c r="N11" s="149"/>
      <c r="O11" s="149" t="s">
        <v>8</v>
      </c>
      <c r="P11" s="57"/>
      <c r="Q11" s="108"/>
      <c r="R11" s="330" t="s">
        <v>9</v>
      </c>
      <c r="S11" s="329"/>
      <c r="T11" s="281" t="s">
        <v>9</v>
      </c>
      <c r="U11" s="107"/>
      <c r="V11" s="108"/>
      <c r="W11" s="57" t="s">
        <v>9</v>
      </c>
      <c r="X11" s="149"/>
      <c r="Y11" s="331" t="s">
        <v>8</v>
      </c>
      <c r="Z11" s="330"/>
      <c r="AA11" s="108"/>
      <c r="AB11" s="330" t="s">
        <v>9</v>
      </c>
      <c r="AC11" s="149"/>
      <c r="AD11" s="293"/>
      <c r="AE11" s="107"/>
      <c r="AF11" s="328"/>
      <c r="AG11" s="347" t="s">
        <v>8</v>
      </c>
      <c r="AH11" s="149"/>
      <c r="AI11" s="361" t="s">
        <v>9</v>
      </c>
      <c r="AJ11" s="149" t="s">
        <v>8</v>
      </c>
      <c r="AK11" s="290"/>
      <c r="AL11" s="211">
        <f t="shared" si="3"/>
        <v>144</v>
      </c>
      <c r="AM11" s="235"/>
    </row>
    <row r="12" spans="1:39" ht="18" customHeight="1" x14ac:dyDescent="0.2">
      <c r="A12" s="73">
        <v>1196</v>
      </c>
      <c r="B12" s="73">
        <v>1977595</v>
      </c>
      <c r="C12" s="350" t="s">
        <v>20</v>
      </c>
      <c r="D12" s="76" t="s">
        <v>18</v>
      </c>
      <c r="E12" s="76" t="s">
        <v>19</v>
      </c>
      <c r="F12" s="78">
        <v>36</v>
      </c>
      <c r="G12" s="91">
        <f t="array" ref="G12">SUMPRODUCT((H12:AK12="SD")+(H12:AK12="SN")+(H12:AK12="MT")+(H12:AK12="8H")+(H12:AK12="N")+(H12:AK12="M")+(H12:AK12="T")+(H12:AK12="AE")+(H12:AK12="AB")+(H12:AK12="AA")+(H12:AK12="FC"))</f>
        <v>12</v>
      </c>
      <c r="H12" s="107" t="s">
        <v>9</v>
      </c>
      <c r="I12" s="64"/>
      <c r="J12" s="331" t="s">
        <v>8</v>
      </c>
      <c r="K12" s="330"/>
      <c r="L12" s="328"/>
      <c r="M12" s="57" t="s">
        <v>9</v>
      </c>
      <c r="N12" s="149"/>
      <c r="O12" s="149" t="s">
        <v>8</v>
      </c>
      <c r="P12" s="57"/>
      <c r="Q12" s="108"/>
      <c r="R12" s="330" t="s">
        <v>9</v>
      </c>
      <c r="S12" s="329"/>
      <c r="T12" s="149" t="s">
        <v>8</v>
      </c>
      <c r="U12" s="107"/>
      <c r="V12" s="108"/>
      <c r="W12" s="357" t="s">
        <v>8</v>
      </c>
      <c r="X12" s="215" t="s">
        <v>9</v>
      </c>
      <c r="Y12" s="354"/>
      <c r="Z12" s="214"/>
      <c r="AA12" s="215"/>
      <c r="AB12" s="357" t="s">
        <v>8</v>
      </c>
      <c r="AC12" s="215" t="s">
        <v>9</v>
      </c>
      <c r="AD12" s="354"/>
      <c r="AE12" s="214"/>
      <c r="AF12" s="357" t="s">
        <v>8</v>
      </c>
      <c r="AG12" s="356" t="s">
        <v>9</v>
      </c>
      <c r="AH12" s="356"/>
      <c r="AI12" s="218"/>
      <c r="AJ12" s="215"/>
      <c r="AK12" s="263"/>
      <c r="AL12" s="211">
        <f t="shared" si="3"/>
        <v>144</v>
      </c>
      <c r="AM12" s="235"/>
    </row>
    <row r="13" spans="1:39" ht="18" customHeight="1" x14ac:dyDescent="0.2">
      <c r="A13" s="73">
        <v>1187</v>
      </c>
      <c r="B13" s="73">
        <v>1857792</v>
      </c>
      <c r="C13" s="350" t="s">
        <v>133</v>
      </c>
      <c r="D13" s="76" t="s">
        <v>18</v>
      </c>
      <c r="E13" s="76" t="s">
        <v>19</v>
      </c>
      <c r="F13" s="78">
        <v>36</v>
      </c>
      <c r="G13" s="91">
        <f t="array" ref="G13">SUMPRODUCT((H13:AK13="SD")+(H13:AK13="SN")+(H13:AK13="MT")+(H13:AK13="8H")+(H13:AK13="N")+(H13:AK13="M")+(H13:AK13="T")+(H13:AK13="AE")+(H13:AK13="AB")+(H13:AK13="AA")+(H13:AK13="FC"))</f>
        <v>12</v>
      </c>
      <c r="H13" s="214" t="s">
        <v>9</v>
      </c>
      <c r="I13" s="218"/>
      <c r="J13" s="354" t="s">
        <v>8</v>
      </c>
      <c r="K13" s="214"/>
      <c r="L13" s="215"/>
      <c r="M13" s="214" t="s">
        <v>9</v>
      </c>
      <c r="N13" s="218"/>
      <c r="O13" s="218" t="s">
        <v>8</v>
      </c>
      <c r="P13" s="215"/>
      <c r="Q13" s="215"/>
      <c r="R13" s="214" t="s">
        <v>9</v>
      </c>
      <c r="S13" s="218"/>
      <c r="T13" s="218" t="s">
        <v>8</v>
      </c>
      <c r="U13" s="214"/>
      <c r="V13" s="215"/>
      <c r="W13" s="214" t="s">
        <v>9</v>
      </c>
      <c r="X13" s="218"/>
      <c r="Y13" s="354" t="s">
        <v>8</v>
      </c>
      <c r="Z13" s="215"/>
      <c r="AA13" s="215"/>
      <c r="AB13" s="214" t="s">
        <v>9</v>
      </c>
      <c r="AC13" s="218"/>
      <c r="AD13" s="354" t="s">
        <v>8</v>
      </c>
      <c r="AE13" s="215"/>
      <c r="AF13" s="215"/>
      <c r="AG13" s="214" t="s">
        <v>9</v>
      </c>
      <c r="AH13" s="218"/>
      <c r="AI13" s="467"/>
      <c r="AJ13" s="215" t="s">
        <v>9</v>
      </c>
      <c r="AK13" s="263"/>
      <c r="AL13" s="211">
        <f t="shared" si="3"/>
        <v>144</v>
      </c>
      <c r="AM13" s="235"/>
    </row>
    <row r="14" spans="1:39" ht="18" customHeight="1" x14ac:dyDescent="0.2">
      <c r="A14" s="73">
        <v>1188</v>
      </c>
      <c r="B14" s="73">
        <v>345493</v>
      </c>
      <c r="C14" s="63" t="s">
        <v>22</v>
      </c>
      <c r="D14" s="76" t="s">
        <v>18</v>
      </c>
      <c r="E14" s="76" t="s">
        <v>19</v>
      </c>
      <c r="F14" s="78">
        <v>36</v>
      </c>
      <c r="G14" s="91">
        <f t="array" ref="G14">SUMPRODUCT((H14:AK14="SD")+(H14:AK14="SN")+(H14:AK14="MT")+(H14:AK14="8H")+(H14:AK14="N")+(H14:AK14="M")+(H14:AK14="T")+(H14:AK14="AE")+(H14:AK14="AB")+(H14:AK14="AA")+(H14:AK14="FC"))</f>
        <v>12</v>
      </c>
      <c r="H14" s="107" t="s">
        <v>9</v>
      </c>
      <c r="I14" s="64"/>
      <c r="J14" s="331" t="s">
        <v>8</v>
      </c>
      <c r="K14" s="330"/>
      <c r="L14" s="328"/>
      <c r="M14" s="57" t="s">
        <v>9</v>
      </c>
      <c r="N14" s="149"/>
      <c r="O14" s="149" t="s">
        <v>8</v>
      </c>
      <c r="P14" s="57"/>
      <c r="Q14" s="108"/>
      <c r="R14" s="330" t="s">
        <v>9</v>
      </c>
      <c r="S14" s="329"/>
      <c r="T14" s="149" t="s">
        <v>8</v>
      </c>
      <c r="U14" s="149"/>
      <c r="V14" s="108"/>
      <c r="W14" s="57" t="s">
        <v>9</v>
      </c>
      <c r="X14" s="149"/>
      <c r="Y14" s="331"/>
      <c r="Z14" s="328"/>
      <c r="AA14" s="290" t="s">
        <v>8</v>
      </c>
      <c r="AB14" s="330"/>
      <c r="AC14" s="149"/>
      <c r="AD14" s="358" t="s">
        <v>9</v>
      </c>
      <c r="AE14" s="108"/>
      <c r="AF14" s="349" t="s">
        <v>8</v>
      </c>
      <c r="AG14" s="330"/>
      <c r="AH14" s="149"/>
      <c r="AI14" s="149" t="s">
        <v>8</v>
      </c>
      <c r="AJ14" s="149"/>
      <c r="AK14" s="231" t="s">
        <v>9</v>
      </c>
      <c r="AL14" s="211">
        <f t="shared" si="3"/>
        <v>144</v>
      </c>
      <c r="AM14" s="235"/>
    </row>
    <row r="15" spans="1:39" ht="18" customHeight="1" x14ac:dyDescent="0.2">
      <c r="A15" s="73">
        <v>1198</v>
      </c>
      <c r="B15" s="73">
        <v>1867868</v>
      </c>
      <c r="C15" s="339" t="s">
        <v>25</v>
      </c>
      <c r="D15" s="76" t="s">
        <v>18</v>
      </c>
      <c r="E15" s="76" t="s">
        <v>19</v>
      </c>
      <c r="F15" s="78">
        <v>36</v>
      </c>
      <c r="G15" s="91">
        <f t="array" ref="G15">SUMPRODUCT((H15:AK15="SD")+(H15:AK15="SN")+(H15:AK15="MT")+(H15:AK15="8H")+(H15:AK15="N")+(H15:AK15="M")+(H15:AK15="T")+(H15:AK15="AE")+(H15:AK15="AB")+(H15:AK15="AA")+(H15:AK15="FC"))</f>
        <v>12</v>
      </c>
      <c r="H15" s="354" t="s">
        <v>8</v>
      </c>
      <c r="I15" s="215" t="s">
        <v>9</v>
      </c>
      <c r="J15" s="215"/>
      <c r="K15" s="215"/>
      <c r="L15" s="217"/>
      <c r="M15" s="354" t="s">
        <v>8</v>
      </c>
      <c r="N15" s="214" t="s">
        <v>9</v>
      </c>
      <c r="O15" s="215"/>
      <c r="P15" s="215"/>
      <c r="Q15" s="215"/>
      <c r="R15" s="218" t="s">
        <v>8</v>
      </c>
      <c r="S15" s="215" t="s">
        <v>9</v>
      </c>
      <c r="T15" s="215"/>
      <c r="U15" s="215"/>
      <c r="V15" s="354" t="s">
        <v>8</v>
      </c>
      <c r="W15" s="355" t="s">
        <v>9</v>
      </c>
      <c r="X15" s="214"/>
      <c r="Y15" s="215"/>
      <c r="Z15" s="215"/>
      <c r="AA15" s="215"/>
      <c r="AB15" s="354" t="s">
        <v>8</v>
      </c>
      <c r="AC15" s="214" t="s">
        <v>9</v>
      </c>
      <c r="AD15" s="215"/>
      <c r="AE15" s="215"/>
      <c r="AF15" s="215"/>
      <c r="AG15" s="354" t="s">
        <v>8</v>
      </c>
      <c r="AH15" s="356" t="s">
        <v>9</v>
      </c>
      <c r="AI15" s="215"/>
      <c r="AJ15" s="355"/>
      <c r="AK15" s="263"/>
      <c r="AL15" s="211">
        <f t="shared" si="3"/>
        <v>144</v>
      </c>
      <c r="AM15" s="235"/>
    </row>
    <row r="16" spans="1:39" ht="18" customHeight="1" x14ac:dyDescent="0.2">
      <c r="A16" s="73">
        <v>1190</v>
      </c>
      <c r="B16" s="73"/>
      <c r="C16" s="63" t="s">
        <v>26</v>
      </c>
      <c r="D16" s="76" t="s">
        <v>18</v>
      </c>
      <c r="E16" s="76" t="s">
        <v>19</v>
      </c>
      <c r="F16" s="78">
        <v>36</v>
      </c>
      <c r="G16" s="91">
        <f t="array" ref="G16">SUMPRODUCT((H16:AK16="SD")+(H16:AK16="SN")+(H16:AK16="MT")+(H16:AK16="8H")+(H16:AK16="N")+(H16:AK16="M")+(H16:AK16="T")+(H16:AK16="AE")+(H16:AK16="AB")+(H16:AK16="AA")+(H16:AK16="FC"))</f>
        <v>12</v>
      </c>
      <c r="H16" s="107"/>
      <c r="I16" s="56" t="s">
        <v>9</v>
      </c>
      <c r="J16" s="330"/>
      <c r="K16" s="331" t="s">
        <v>8</v>
      </c>
      <c r="L16" s="330"/>
      <c r="M16" s="64"/>
      <c r="N16" s="107" t="s">
        <v>9</v>
      </c>
      <c r="O16" s="108"/>
      <c r="P16" s="290" t="s">
        <v>8</v>
      </c>
      <c r="Q16" s="108"/>
      <c r="R16" s="329"/>
      <c r="S16" s="330" t="s">
        <v>9</v>
      </c>
      <c r="T16" s="108"/>
      <c r="U16" s="290" t="s">
        <v>8</v>
      </c>
      <c r="V16" s="108"/>
      <c r="W16" s="108" t="s">
        <v>9</v>
      </c>
      <c r="X16" s="107"/>
      <c r="Y16" s="330"/>
      <c r="Z16" s="331" t="s">
        <v>8</v>
      </c>
      <c r="AA16" s="108"/>
      <c r="AB16" s="346" t="s">
        <v>9</v>
      </c>
      <c r="AC16" s="107"/>
      <c r="AD16" s="108" t="s">
        <v>9</v>
      </c>
      <c r="AE16" s="290"/>
      <c r="AF16" s="349" t="s">
        <v>8</v>
      </c>
      <c r="AG16" s="329"/>
      <c r="AH16" s="107"/>
      <c r="AI16" s="107" t="s">
        <v>9</v>
      </c>
      <c r="AJ16" s="290"/>
      <c r="AK16" s="107"/>
      <c r="AL16" s="211">
        <f t="shared" si="3"/>
        <v>144</v>
      </c>
      <c r="AM16" s="235"/>
    </row>
    <row r="17" spans="1:39" ht="18" customHeight="1" x14ac:dyDescent="0.2">
      <c r="A17" s="73">
        <v>11111</v>
      </c>
      <c r="B17" s="73"/>
      <c r="C17" s="63" t="s">
        <v>27</v>
      </c>
      <c r="D17" s="76" t="s">
        <v>18</v>
      </c>
      <c r="E17" s="76" t="s">
        <v>19</v>
      </c>
      <c r="F17" s="78">
        <v>37</v>
      </c>
      <c r="G17" s="91">
        <f t="array" ref="G17">SUMPRODUCT((H17:AK17="SD")+(H17:AK17="SN")+(H17:AK17="MT")+(H17:AK17="8H")+(H17:AK17="N")+(H17:AK17="M")+(H17:AK17="T")+(H17:AK17="AE")+(H17:AK17="AB")+(H17:AK17="AA")+(H17:AK17="FC"))</f>
        <v>12</v>
      </c>
      <c r="H17" s="108"/>
      <c r="I17" s="293" t="s">
        <v>8</v>
      </c>
      <c r="J17" s="329"/>
      <c r="K17" s="328"/>
      <c r="L17" s="330" t="s">
        <v>9</v>
      </c>
      <c r="M17" s="64"/>
      <c r="N17" s="290" t="s">
        <v>8</v>
      </c>
      <c r="O17" s="108"/>
      <c r="P17" s="108"/>
      <c r="Q17" s="107" t="s">
        <v>9</v>
      </c>
      <c r="R17" s="329"/>
      <c r="S17" s="331" t="s">
        <v>8</v>
      </c>
      <c r="T17" s="108"/>
      <c r="U17" s="107"/>
      <c r="V17" s="107" t="s">
        <v>9</v>
      </c>
      <c r="W17" s="149"/>
      <c r="X17" s="361" t="s">
        <v>9</v>
      </c>
      <c r="Y17" s="330"/>
      <c r="Z17" s="328"/>
      <c r="AA17" s="294" t="s">
        <v>9</v>
      </c>
      <c r="AB17" s="329"/>
      <c r="AC17" s="290" t="s">
        <v>8</v>
      </c>
      <c r="AD17" s="149"/>
      <c r="AE17" s="108" t="s">
        <v>9</v>
      </c>
      <c r="AF17" s="328"/>
      <c r="AG17" s="329"/>
      <c r="AH17" s="290" t="s">
        <v>8</v>
      </c>
      <c r="AI17" s="108"/>
      <c r="AJ17" s="108" t="s">
        <v>9</v>
      </c>
      <c r="AK17" s="108"/>
      <c r="AL17" s="211">
        <f t="shared" si="3"/>
        <v>144</v>
      </c>
      <c r="AM17" s="235"/>
    </row>
    <row r="18" spans="1:39" ht="18" customHeight="1" x14ac:dyDescent="0.2">
      <c r="A18" s="73">
        <v>1183</v>
      </c>
      <c r="B18" s="73"/>
      <c r="C18" s="63" t="s">
        <v>83</v>
      </c>
      <c r="D18" s="76" t="s">
        <v>18</v>
      </c>
      <c r="E18" s="76" t="s">
        <v>19</v>
      </c>
      <c r="F18" s="78">
        <v>36</v>
      </c>
      <c r="G18" s="91">
        <f t="array" ref="G18">SUMPRODUCT((H18:AK18="SD")+(H18:AK18="SN")+(H18:AK18="MT")+(H18:AK18="8H")+(H18:AK18="N")+(H18:AK18="M")+(H18:AK18="T")+(H18:AK18="AE")+(H18:AK18="AB")+(H18:AK18="AA")+(H18:AK18="FC"))</f>
        <v>12</v>
      </c>
      <c r="H18" s="108"/>
      <c r="I18" s="293" t="s">
        <v>8</v>
      </c>
      <c r="J18" s="330"/>
      <c r="K18" s="328"/>
      <c r="L18" s="330" t="s">
        <v>9</v>
      </c>
      <c r="M18" s="64"/>
      <c r="N18" s="290" t="s">
        <v>8</v>
      </c>
      <c r="O18" s="108"/>
      <c r="P18" s="108"/>
      <c r="Q18" s="107" t="s">
        <v>9</v>
      </c>
      <c r="R18" s="329"/>
      <c r="S18" s="331" t="s">
        <v>8</v>
      </c>
      <c r="T18" s="108"/>
      <c r="U18" s="107"/>
      <c r="V18" s="107" t="s">
        <v>9</v>
      </c>
      <c r="W18" s="149"/>
      <c r="X18" s="290"/>
      <c r="Y18" s="330" t="s">
        <v>9</v>
      </c>
      <c r="Z18" s="328"/>
      <c r="AA18" s="294" t="s">
        <v>9</v>
      </c>
      <c r="AB18" s="329"/>
      <c r="AC18" s="290" t="s">
        <v>8</v>
      </c>
      <c r="AD18" s="108"/>
      <c r="AE18" s="108" t="s">
        <v>9</v>
      </c>
      <c r="AF18" s="328"/>
      <c r="AG18" s="329"/>
      <c r="AH18" s="290" t="s">
        <v>8</v>
      </c>
      <c r="AI18" s="107"/>
      <c r="AJ18" s="107" t="s">
        <v>9</v>
      </c>
      <c r="AK18" s="108"/>
      <c r="AL18" s="211">
        <f t="shared" si="3"/>
        <v>144</v>
      </c>
      <c r="AM18" s="235"/>
    </row>
    <row r="19" spans="1:39" ht="18" customHeight="1" x14ac:dyDescent="0.2">
      <c r="A19" s="73">
        <v>1235</v>
      </c>
      <c r="B19" s="73">
        <v>475428</v>
      </c>
      <c r="C19" s="439" t="s">
        <v>28</v>
      </c>
      <c r="D19" s="76" t="s">
        <v>18</v>
      </c>
      <c r="E19" s="76" t="s">
        <v>19</v>
      </c>
      <c r="F19" s="78">
        <v>36</v>
      </c>
      <c r="G19" s="91">
        <f t="array" ref="G19">SUMPRODUCT((H19:AK19="SD")+(H19:AK19="SN")+(H19:AK19="MT")+(H19:AK19="8H")+(H19:AK19="N")+(H19:AK19="M")+(H19:AK19="T")+(H19:AK19="AE")+(H19:AK19="AB")+(H19:AK19="AA")+(H19:AK19="FC"))</f>
        <v>12</v>
      </c>
      <c r="H19" s="108"/>
      <c r="I19" s="290" t="s">
        <v>8</v>
      </c>
      <c r="J19" s="330"/>
      <c r="K19" s="332" t="s">
        <v>9</v>
      </c>
      <c r="L19" s="330"/>
      <c r="M19" s="108"/>
      <c r="N19" s="290" t="s">
        <v>8</v>
      </c>
      <c r="O19" s="107"/>
      <c r="P19" s="108" t="s">
        <v>9</v>
      </c>
      <c r="Q19" s="290" t="s">
        <v>8</v>
      </c>
      <c r="R19" s="329"/>
      <c r="S19" s="331"/>
      <c r="T19" s="290"/>
      <c r="U19" s="108" t="s">
        <v>9</v>
      </c>
      <c r="V19" s="107"/>
      <c r="W19" s="149"/>
      <c r="X19" s="290" t="s">
        <v>8</v>
      </c>
      <c r="Y19" s="328"/>
      <c r="Z19" s="328" t="s">
        <v>9</v>
      </c>
      <c r="AA19" s="107"/>
      <c r="AB19" s="329"/>
      <c r="AC19" s="290" t="s">
        <v>8</v>
      </c>
      <c r="AD19" s="108"/>
      <c r="AE19" s="108"/>
      <c r="AF19" s="328" t="s">
        <v>9</v>
      </c>
      <c r="AG19" s="329"/>
      <c r="AH19" s="290" t="s">
        <v>8</v>
      </c>
      <c r="AI19" s="108"/>
      <c r="AJ19" s="108"/>
      <c r="AK19" s="290" t="s">
        <v>8</v>
      </c>
      <c r="AL19" s="211">
        <f t="shared" si="3"/>
        <v>144</v>
      </c>
      <c r="AM19" s="235"/>
    </row>
    <row r="20" spans="1:39" ht="23.25" customHeight="1" x14ac:dyDescent="0.2">
      <c r="A20" s="73">
        <v>11102</v>
      </c>
      <c r="B20" s="73"/>
      <c r="C20" s="63" t="s">
        <v>30</v>
      </c>
      <c r="D20" s="76" t="s">
        <v>18</v>
      </c>
      <c r="E20" s="76" t="s">
        <v>19</v>
      </c>
      <c r="F20" s="78">
        <v>36</v>
      </c>
      <c r="G20" s="91">
        <f t="array" ref="G20">SUMPRODUCT((H20:AK20="SD")+(H20:AK20="SN")+(H20:AK20="MT")+(H20:AK20="8H")+(H20:AK20="N")+(H20:AK20="M")+(H20:AK20="T")+(H20:AK20="AE")+(H20:AK20="AB")+(H20:AK20="AA")+(H20:AK20="FC"))</f>
        <v>12</v>
      </c>
      <c r="H20" s="149"/>
      <c r="I20" s="293" t="s">
        <v>8</v>
      </c>
      <c r="J20" s="330"/>
      <c r="K20" s="333"/>
      <c r="L20" s="330" t="s">
        <v>9</v>
      </c>
      <c r="M20" s="108"/>
      <c r="N20" s="360" t="s">
        <v>8</v>
      </c>
      <c r="O20" s="149"/>
      <c r="P20" s="108"/>
      <c r="Q20" s="107" t="s">
        <v>9</v>
      </c>
      <c r="R20" s="329"/>
      <c r="S20" s="331" t="s">
        <v>8</v>
      </c>
      <c r="T20" s="107"/>
      <c r="U20" s="108"/>
      <c r="V20" s="107" t="s">
        <v>9</v>
      </c>
      <c r="W20" s="149"/>
      <c r="X20" s="290" t="s">
        <v>8</v>
      </c>
      <c r="Y20" s="328"/>
      <c r="Z20" s="328" t="s">
        <v>9</v>
      </c>
      <c r="AA20" s="107"/>
      <c r="AB20" s="329"/>
      <c r="AC20" s="290" t="s">
        <v>8</v>
      </c>
      <c r="AD20" s="108"/>
      <c r="AE20" s="360" t="s">
        <v>8</v>
      </c>
      <c r="AF20" s="328"/>
      <c r="AG20" s="329"/>
      <c r="AH20" s="290" t="s">
        <v>8</v>
      </c>
      <c r="AI20" s="108"/>
      <c r="AJ20" s="108"/>
      <c r="AK20" s="108" t="s">
        <v>9</v>
      </c>
      <c r="AL20" s="211">
        <f t="shared" si="3"/>
        <v>144</v>
      </c>
      <c r="AM20" s="235"/>
    </row>
    <row r="21" spans="1:39" ht="18" customHeight="1" x14ac:dyDescent="0.2">
      <c r="A21" s="73">
        <v>1181</v>
      </c>
      <c r="B21" s="73">
        <v>1256897</v>
      </c>
      <c r="C21" s="63" t="s">
        <v>29</v>
      </c>
      <c r="D21" s="76" t="s">
        <v>18</v>
      </c>
      <c r="E21" s="76" t="s">
        <v>19</v>
      </c>
      <c r="F21" s="78">
        <v>36</v>
      </c>
      <c r="G21" s="91">
        <f t="array" ref="G21">SUMPRODUCT((H21:AK21="SD")+(H21:AK21="SN")+(H21:AK21="MT")+(H21:AK21="8H")+(H21:AK21="N")+(H21:AK21="M")+(H21:AK21="T")+(H21:AK21="AE")+(H21:AK21="AB")+(H21:AK21="AA")+(H21:AK21="FC"))</f>
        <v>12</v>
      </c>
      <c r="H21" s="107"/>
      <c r="I21" s="293" t="s">
        <v>8</v>
      </c>
      <c r="J21" s="328"/>
      <c r="K21" s="330"/>
      <c r="L21" s="330" t="s">
        <v>9</v>
      </c>
      <c r="M21" s="107"/>
      <c r="N21" s="290"/>
      <c r="O21" s="107" t="s">
        <v>9</v>
      </c>
      <c r="P21" s="108"/>
      <c r="Q21" s="360" t="s">
        <v>8</v>
      </c>
      <c r="R21" s="330"/>
      <c r="S21" s="331" t="s">
        <v>8</v>
      </c>
      <c r="T21" s="107"/>
      <c r="U21" s="107"/>
      <c r="V21" s="107" t="s">
        <v>9</v>
      </c>
      <c r="W21" s="107"/>
      <c r="X21" s="290" t="s">
        <v>8</v>
      </c>
      <c r="Y21" s="329"/>
      <c r="Z21" s="330" t="s">
        <v>9</v>
      </c>
      <c r="AA21" s="107"/>
      <c r="AB21" s="330"/>
      <c r="AC21" s="290" t="s">
        <v>8</v>
      </c>
      <c r="AD21" s="149"/>
      <c r="AE21" s="107"/>
      <c r="AF21" s="328" t="s">
        <v>9</v>
      </c>
      <c r="AG21" s="328"/>
      <c r="AH21" s="290" t="s">
        <v>8</v>
      </c>
      <c r="AI21" s="149"/>
      <c r="AJ21" s="108"/>
      <c r="AK21" s="108" t="s">
        <v>9</v>
      </c>
      <c r="AL21" s="211">
        <f t="shared" si="3"/>
        <v>144</v>
      </c>
      <c r="AM21" s="235"/>
    </row>
    <row r="22" spans="1:39" ht="18" customHeight="1" x14ac:dyDescent="0.2">
      <c r="A22" s="73">
        <v>11103</v>
      </c>
      <c r="B22" s="73">
        <v>1256875</v>
      </c>
      <c r="C22" s="63" t="s">
        <v>31</v>
      </c>
      <c r="D22" s="76" t="s">
        <v>18</v>
      </c>
      <c r="E22" s="76" t="s">
        <v>19</v>
      </c>
      <c r="F22" s="78">
        <v>36</v>
      </c>
      <c r="G22" s="91">
        <f t="array" ref="G22">SUMPRODUCT((H22:AK22="SD")+(H22:AK22="SN")+(H22:AK22="MT")+(H22:AK22="8H")+(H22:AK22="N")+(H22:AK22="M")+(H22:AK22="T")+(H22:AK22="AE")+(H22:AK22="AB")+(H22:AK22="AA")+(H22:AK22="FC"))</f>
        <v>12</v>
      </c>
      <c r="H22" s="107" t="s">
        <v>9</v>
      </c>
      <c r="I22" s="56"/>
      <c r="J22" s="346" t="s">
        <v>9</v>
      </c>
      <c r="K22" s="330"/>
      <c r="L22" s="346" t="s">
        <v>9</v>
      </c>
      <c r="M22" s="107"/>
      <c r="N22" s="108"/>
      <c r="O22" s="149" t="s">
        <v>8</v>
      </c>
      <c r="P22" s="107"/>
      <c r="Q22" s="149"/>
      <c r="R22" s="328" t="s">
        <v>9</v>
      </c>
      <c r="S22" s="328"/>
      <c r="T22" s="149" t="s">
        <v>8</v>
      </c>
      <c r="U22" s="108"/>
      <c r="V22" s="149"/>
      <c r="W22" s="108"/>
      <c r="X22" s="107"/>
      <c r="Y22" s="329" t="s">
        <v>8</v>
      </c>
      <c r="Z22" s="330"/>
      <c r="AA22" s="290"/>
      <c r="AB22" s="468" t="s">
        <v>8</v>
      </c>
      <c r="AC22" s="107"/>
      <c r="AD22" s="231" t="s">
        <v>9</v>
      </c>
      <c r="AE22" s="149"/>
      <c r="AF22" s="349" t="s">
        <v>8</v>
      </c>
      <c r="AG22" s="328"/>
      <c r="AH22" s="57"/>
      <c r="AI22" s="149" t="s">
        <v>8</v>
      </c>
      <c r="AJ22" s="107"/>
      <c r="AK22" s="57" t="s">
        <v>9</v>
      </c>
      <c r="AL22" s="211">
        <f t="shared" si="3"/>
        <v>144</v>
      </c>
      <c r="AM22" s="235"/>
    </row>
    <row r="23" spans="1:39" ht="23.25" customHeight="1" x14ac:dyDescent="0.2">
      <c r="A23" s="73">
        <v>1121</v>
      </c>
      <c r="B23" s="73"/>
      <c r="C23" s="63" t="s">
        <v>34</v>
      </c>
      <c r="D23" s="76" t="s">
        <v>18</v>
      </c>
      <c r="E23" s="76" t="s">
        <v>19</v>
      </c>
      <c r="F23" s="78">
        <v>36</v>
      </c>
      <c r="G23" s="91">
        <f t="array" ref="G23">SUMPRODUCT((H23:AK23="SD")+(H23:AK23="SN")+(H23:AK23="MT")+(H23:AK23="8H")+(H23:AK23="N")+(H23:AK23="M")+(H23:AK23="T")+(H23:AK23="AE")+(H23:AK23="AB")+(H23:AK23="AA")+(H23:AK23="FC"))</f>
        <v>12</v>
      </c>
      <c r="H23" s="107" t="s">
        <v>9</v>
      </c>
      <c r="I23" s="56"/>
      <c r="J23" s="346" t="s">
        <v>9</v>
      </c>
      <c r="K23" s="328"/>
      <c r="L23" s="329" t="s">
        <v>8</v>
      </c>
      <c r="M23" s="108"/>
      <c r="N23" s="107"/>
      <c r="O23" s="231" t="s">
        <v>9</v>
      </c>
      <c r="P23" s="108"/>
      <c r="Q23" s="290" t="s">
        <v>8</v>
      </c>
      <c r="R23" s="328"/>
      <c r="S23" s="328"/>
      <c r="T23" s="281" t="s">
        <v>9</v>
      </c>
      <c r="U23" s="108"/>
      <c r="V23" s="290" t="s">
        <v>8</v>
      </c>
      <c r="W23" s="108"/>
      <c r="X23" s="107"/>
      <c r="Y23" s="329" t="s">
        <v>8</v>
      </c>
      <c r="Z23" s="329"/>
      <c r="AA23" s="108" t="s">
        <v>9</v>
      </c>
      <c r="AB23" s="330"/>
      <c r="AC23" s="107"/>
      <c r="AD23" s="149" t="s">
        <v>8</v>
      </c>
      <c r="AE23" s="149"/>
      <c r="AF23" s="330" t="s">
        <v>9</v>
      </c>
      <c r="AG23" s="328"/>
      <c r="AH23" s="57"/>
      <c r="AI23" s="149" t="s">
        <v>8</v>
      </c>
      <c r="AJ23" s="107"/>
      <c r="AK23" s="57"/>
      <c r="AL23" s="211">
        <v>144</v>
      </c>
      <c r="AM23" s="235"/>
    </row>
    <row r="24" spans="1:39" ht="18" customHeight="1" x14ac:dyDescent="0.2">
      <c r="A24" s="73">
        <v>12856</v>
      </c>
      <c r="B24" s="73">
        <v>464434</v>
      </c>
      <c r="C24" s="63" t="s">
        <v>36</v>
      </c>
      <c r="D24" s="76" t="s">
        <v>18</v>
      </c>
      <c r="E24" s="76" t="s">
        <v>19</v>
      </c>
      <c r="F24" s="78">
        <v>36</v>
      </c>
      <c r="G24" s="91">
        <f t="array" ref="G24">SUMPRODUCT((H24:AK24="SD")+(H24:AK24="SN")+(H24:AK24="MT")+(H24:AK24="8H")+(H24:AK24="N")+(H24:AK24="M")+(H24:AK24="T")+(H24:AK24="AE")+(H24:AK24="AB")+(H24:AK24="AA")+(H24:AK24="FC"))</f>
        <v>12</v>
      </c>
      <c r="H24" s="107"/>
      <c r="I24" s="56" t="s">
        <v>9</v>
      </c>
      <c r="J24" s="329" t="s">
        <v>8</v>
      </c>
      <c r="K24" s="330"/>
      <c r="L24" s="328"/>
      <c r="M24" s="108" t="s">
        <v>9</v>
      </c>
      <c r="N24" s="108"/>
      <c r="O24" s="149" t="s">
        <v>8</v>
      </c>
      <c r="P24" s="107"/>
      <c r="Q24" s="108"/>
      <c r="R24" s="328" t="s">
        <v>9</v>
      </c>
      <c r="S24" s="328"/>
      <c r="T24" s="294" t="s">
        <v>9</v>
      </c>
      <c r="U24" s="149"/>
      <c r="V24" s="290" t="s">
        <v>8</v>
      </c>
      <c r="W24" s="108"/>
      <c r="X24" s="290"/>
      <c r="Y24" s="329"/>
      <c r="Z24" s="363" t="s">
        <v>9</v>
      </c>
      <c r="AA24" s="107"/>
      <c r="AB24" s="330"/>
      <c r="AC24" s="107" t="s">
        <v>9</v>
      </c>
      <c r="AD24" s="149"/>
      <c r="AE24" s="149" t="s">
        <v>8</v>
      </c>
      <c r="AF24" s="330"/>
      <c r="AG24" s="328" t="s">
        <v>9</v>
      </c>
      <c r="AH24" s="57"/>
      <c r="AI24" s="149" t="s">
        <v>8</v>
      </c>
      <c r="AJ24" s="107"/>
      <c r="AK24" s="358"/>
      <c r="AL24" s="211">
        <f>SUMPRODUCT((H24:AK24="SD")*12 + (H24:AK24="SN")*12 + (H24:AK24="MT")*8 + (H24:AK24="M")*6 + (H24:AK24="T")*6)</f>
        <v>144</v>
      </c>
      <c r="AM24" s="235"/>
    </row>
    <row r="25" spans="1:39" ht="18" customHeight="1" x14ac:dyDescent="0.2">
      <c r="A25" s="73">
        <v>1126</v>
      </c>
      <c r="B25" s="73"/>
      <c r="C25" s="63" t="s">
        <v>65</v>
      </c>
      <c r="D25" s="76" t="s">
        <v>18</v>
      </c>
      <c r="E25" s="76" t="s">
        <v>19</v>
      </c>
      <c r="F25" s="78">
        <v>36</v>
      </c>
      <c r="G25" s="91">
        <f t="array" ref="G25">SUMPRODUCT((H25:AK25="SD")+(H25:AK25="SN")+(H25:AK25="MT")+(H25:AK25="8H")+(H25:AK25="N")+(H25:AK25="M")+(H25:AK25="T")+(H25:AK25="AE")+(H25:AK25="AB")+(H25:AK25="AA")+(H25:AK25="FC"))</f>
        <v>12</v>
      </c>
      <c r="H25" s="107"/>
      <c r="I25" s="56"/>
      <c r="J25" s="329" t="s">
        <v>8</v>
      </c>
      <c r="K25" s="330"/>
      <c r="L25" s="349" t="s">
        <v>8</v>
      </c>
      <c r="M25" s="108"/>
      <c r="N25" s="108"/>
      <c r="O25" s="231" t="s">
        <v>9</v>
      </c>
      <c r="P25" s="149"/>
      <c r="Q25" s="290" t="s">
        <v>8</v>
      </c>
      <c r="R25" s="328"/>
      <c r="S25" s="328"/>
      <c r="T25" s="108" t="s">
        <v>9</v>
      </c>
      <c r="U25" s="149"/>
      <c r="V25" s="290" t="s">
        <v>8</v>
      </c>
      <c r="W25" s="108"/>
      <c r="X25" s="107"/>
      <c r="Y25" s="329" t="s">
        <v>8</v>
      </c>
      <c r="Z25" s="329"/>
      <c r="AA25" s="107" t="s">
        <v>9</v>
      </c>
      <c r="AB25" s="330" t="s">
        <v>9</v>
      </c>
      <c r="AC25" s="107"/>
      <c r="AD25" s="149" t="s">
        <v>8</v>
      </c>
      <c r="AE25" s="108"/>
      <c r="AF25" s="330"/>
      <c r="AG25" s="328"/>
      <c r="AH25" s="57" t="s">
        <v>9</v>
      </c>
      <c r="AI25" s="149"/>
      <c r="AJ25" s="107"/>
      <c r="AK25" s="358" t="s">
        <v>9</v>
      </c>
      <c r="AL25" s="211">
        <f>SUMPRODUCT((H25:AK25="SD")*12 + (H25:AK25="SN")*12 + (H25:AK25="MT")*8 + (H25:AK25="M")*6 + (H25:AK25="T")*6)</f>
        <v>144</v>
      </c>
      <c r="AM25" s="235"/>
    </row>
    <row r="26" spans="1:39" s="60" customFormat="1" ht="18" customHeight="1" x14ac:dyDescent="0.25">
      <c r="A26" s="160">
        <v>17873</v>
      </c>
      <c r="B26" s="161">
        <v>850301</v>
      </c>
      <c r="C26" s="156" t="s">
        <v>80</v>
      </c>
      <c r="D26" s="157" t="s">
        <v>18</v>
      </c>
      <c r="E26" s="76" t="s">
        <v>19</v>
      </c>
      <c r="F26" s="78">
        <v>36</v>
      </c>
      <c r="G26" s="91">
        <f t="array" ref="G26">SUMPRODUCT((H26:AK26="SD")+(H26:AK26="SN")+(H26:AK26="MT")+(H26:AK26="8H")+(H26:AK26="N")+(H26:AK26="M")+(H26:AK26="T")+(H26:AK26="AE")+(H26:AK26="AB")+(H26:AK26="AA")+(H26:AK26="FC"))</f>
        <v>12</v>
      </c>
      <c r="H26" s="291" t="s">
        <v>8</v>
      </c>
      <c r="I26" s="152"/>
      <c r="J26" s="332"/>
      <c r="K26" s="333" t="s">
        <v>9</v>
      </c>
      <c r="L26" s="329"/>
      <c r="M26" s="291" t="s">
        <v>8</v>
      </c>
      <c r="N26" s="95"/>
      <c r="O26" s="95"/>
      <c r="P26" s="87" t="s">
        <v>9</v>
      </c>
      <c r="Q26" s="149"/>
      <c r="R26" s="335" t="s">
        <v>8</v>
      </c>
      <c r="S26" s="332"/>
      <c r="T26" s="108"/>
      <c r="U26" s="95" t="s">
        <v>9</v>
      </c>
      <c r="V26" s="149"/>
      <c r="W26" s="291" t="s">
        <v>8</v>
      </c>
      <c r="X26" s="95"/>
      <c r="Y26" s="332" t="s">
        <v>9</v>
      </c>
      <c r="Z26" s="337"/>
      <c r="AA26" s="149" t="s">
        <v>8</v>
      </c>
      <c r="AB26" s="336"/>
      <c r="AC26" s="87"/>
      <c r="AD26" s="108" t="s">
        <v>9</v>
      </c>
      <c r="AE26" s="95"/>
      <c r="AF26" s="329"/>
      <c r="AG26" s="336" t="s">
        <v>8</v>
      </c>
      <c r="AH26" s="89"/>
      <c r="AI26" s="462" t="s">
        <v>8</v>
      </c>
      <c r="AJ26" s="95"/>
      <c r="AK26" s="152"/>
      <c r="AL26" s="212">
        <f>SUMPRODUCT((H26:AK26="SD")*12 + (H26:AK26="SN")*12 + (H26:AK26="MT")*8 + (H26:AK26="M")*6 + (H26:AK26="T")*6)</f>
        <v>144</v>
      </c>
    </row>
    <row r="27" spans="1:39" s="60" customFormat="1" ht="18" customHeight="1" x14ac:dyDescent="0.25">
      <c r="A27" s="160">
        <v>1694</v>
      </c>
      <c r="B27" s="161"/>
      <c r="C27" s="344" t="s">
        <v>54</v>
      </c>
      <c r="D27" s="157" t="s">
        <v>18</v>
      </c>
      <c r="E27" s="76" t="s">
        <v>19</v>
      </c>
      <c r="F27" s="78">
        <v>36</v>
      </c>
      <c r="G27" s="91">
        <f t="array" ref="G27">SUMPRODUCT((H27:AK27="SD")+(H27:AK27="SN")+(H27:AK27="MT")+(H27:AK27="8H")+(H27:AK27="N")+(H27:AK27="M")+(H27:AK27="T")+(H27:AK27="AE")+(H27:AK27="AB")+(H27:AK27="AA")+(H27:AK27="FC"))</f>
        <v>12</v>
      </c>
      <c r="H27" s="351" t="s">
        <v>8</v>
      </c>
      <c r="I27" s="351"/>
      <c r="J27" s="351"/>
      <c r="K27" s="216" t="s">
        <v>9</v>
      </c>
      <c r="L27" s="217"/>
      <c r="M27" s="351" t="s">
        <v>8</v>
      </c>
      <c r="N27" s="217"/>
      <c r="O27" s="351"/>
      <c r="P27" s="352" t="s">
        <v>9</v>
      </c>
      <c r="Q27" s="217"/>
      <c r="R27" s="216"/>
      <c r="S27" s="216" t="s">
        <v>9</v>
      </c>
      <c r="T27" s="218"/>
      <c r="U27" s="353" t="s">
        <v>8</v>
      </c>
      <c r="V27" s="216"/>
      <c r="W27" s="351"/>
      <c r="X27" s="353" t="s">
        <v>8</v>
      </c>
      <c r="Y27" s="216"/>
      <c r="Z27" s="359" t="s">
        <v>8</v>
      </c>
      <c r="AA27" s="218"/>
      <c r="AB27" s="216"/>
      <c r="AC27" s="217"/>
      <c r="AD27" s="218" t="s">
        <v>8</v>
      </c>
      <c r="AE27" s="217"/>
      <c r="AF27" s="218"/>
      <c r="AG27" s="217" t="s">
        <v>9</v>
      </c>
      <c r="AH27" s="216"/>
      <c r="AI27" s="353" t="s">
        <v>8</v>
      </c>
      <c r="AJ27" s="216"/>
      <c r="AK27" s="351" t="s">
        <v>8</v>
      </c>
      <c r="AL27" s="212">
        <f>SUMPRODUCT((H27:AK27="SD")*12 + (H27:AK27="SN")*12 + (H27:AK27="MT")*8 + (H27:AK27="M")*6 + (H27:AK27="T")*6)</f>
        <v>144</v>
      </c>
    </row>
    <row r="28" spans="1:39" s="60" customFormat="1" ht="18" customHeight="1" x14ac:dyDescent="0.25">
      <c r="A28" s="161">
        <v>1135</v>
      </c>
      <c r="B28" s="161"/>
      <c r="C28" s="156" t="s">
        <v>92</v>
      </c>
      <c r="D28" s="157" t="s">
        <v>18</v>
      </c>
      <c r="E28" s="76" t="s">
        <v>19</v>
      </c>
      <c r="F28" s="78">
        <v>36</v>
      </c>
      <c r="G28" s="91">
        <f t="array" ref="G28">SUMPRODUCT((H28:AK28="SD")+(H28:AK28="SN")+(H28:AK28="MT")+(H28:AK28="8H")+(H28:AK28="N")+(H28:AK28="M")+(H28:AK28="T")+(H28:AK28="AE")+(H28:AK28="AB")+(H28:AK28="AA")+(H28:AK28="FC"))</f>
        <v>12</v>
      </c>
      <c r="H28" s="90"/>
      <c r="I28" s="291" t="s">
        <v>8</v>
      </c>
      <c r="J28" s="333"/>
      <c r="K28" s="332"/>
      <c r="L28" s="333" t="s">
        <v>9</v>
      </c>
      <c r="M28" s="87"/>
      <c r="N28" s="295" t="s">
        <v>8</v>
      </c>
      <c r="O28" s="95"/>
      <c r="P28" s="95"/>
      <c r="Q28" s="294" t="s">
        <v>9</v>
      </c>
      <c r="R28" s="332"/>
      <c r="S28" s="336" t="s">
        <v>8</v>
      </c>
      <c r="T28" s="95"/>
      <c r="U28" s="87"/>
      <c r="V28" s="294" t="s">
        <v>9</v>
      </c>
      <c r="W28" s="95"/>
      <c r="X28" s="292" t="s">
        <v>9</v>
      </c>
      <c r="Y28" s="332"/>
      <c r="Z28" s="333"/>
      <c r="AA28" s="294" t="s">
        <v>9</v>
      </c>
      <c r="AB28" s="332"/>
      <c r="AC28" s="90" t="s">
        <v>8</v>
      </c>
      <c r="AD28" s="108"/>
      <c r="AE28" s="87"/>
      <c r="AF28" s="338" t="s">
        <v>9</v>
      </c>
      <c r="AG28" s="333"/>
      <c r="AH28" s="152" t="s">
        <v>8</v>
      </c>
      <c r="AI28" s="90"/>
      <c r="AJ28" s="345" t="s">
        <v>9</v>
      </c>
      <c r="AK28" s="236"/>
      <c r="AL28" s="212">
        <f>SUMPRODUCT((H28:AK28="SD")*12 + (H28:AK28="SN")*12 + (H28:AK28="MT")*8 + (H28:AK28="M")*6 + (H28:AK28="T")*6)</f>
        <v>144</v>
      </c>
    </row>
    <row r="29" spans="1:39" s="60" customFormat="1" ht="18" customHeight="1" x14ac:dyDescent="0.25">
      <c r="A29" s="161"/>
      <c r="B29" s="161"/>
      <c r="C29" s="461" t="s">
        <v>108</v>
      </c>
      <c r="D29" s="157" t="s">
        <v>18</v>
      </c>
      <c r="E29" s="76" t="s">
        <v>19</v>
      </c>
      <c r="F29" s="78">
        <v>36</v>
      </c>
      <c r="G29" s="91">
        <v>12</v>
      </c>
      <c r="H29" s="90"/>
      <c r="I29" s="345" t="s">
        <v>9</v>
      </c>
      <c r="J29" s="333"/>
      <c r="K29" s="348" t="s">
        <v>8</v>
      </c>
      <c r="L29" s="333"/>
      <c r="M29" s="87"/>
      <c r="N29" s="295" t="s">
        <v>8</v>
      </c>
      <c r="O29" s="95"/>
      <c r="P29" s="95"/>
      <c r="Q29" s="294" t="s">
        <v>9</v>
      </c>
      <c r="R29" s="332"/>
      <c r="S29" s="336" t="s">
        <v>8</v>
      </c>
      <c r="T29" s="95"/>
      <c r="U29" s="87"/>
      <c r="V29" s="354" t="s">
        <v>8</v>
      </c>
      <c r="W29" s="216" t="s">
        <v>9</v>
      </c>
      <c r="X29" s="351"/>
      <c r="Y29" s="216"/>
      <c r="Z29" s="351" t="s">
        <v>8</v>
      </c>
      <c r="AA29" s="467" t="s">
        <v>9</v>
      </c>
      <c r="AB29" s="216"/>
      <c r="AC29" s="352"/>
      <c r="AD29" s="215"/>
      <c r="AE29" s="359" t="s">
        <v>8</v>
      </c>
      <c r="AF29" s="355" t="s">
        <v>9</v>
      </c>
      <c r="AG29" s="351"/>
      <c r="AH29" s="351"/>
      <c r="AI29" s="351"/>
      <c r="AJ29" s="362" t="s">
        <v>9</v>
      </c>
      <c r="AK29" s="351"/>
      <c r="AL29" s="212">
        <v>144</v>
      </c>
    </row>
    <row r="30" spans="1:39" s="60" customFormat="1" ht="18" customHeight="1" x14ac:dyDescent="0.25">
      <c r="A30" s="161"/>
      <c r="B30" s="161"/>
      <c r="C30" s="461" t="s">
        <v>110</v>
      </c>
      <c r="D30" s="157" t="s">
        <v>18</v>
      </c>
      <c r="E30" s="76" t="s">
        <v>19</v>
      </c>
      <c r="F30" s="78">
        <v>36</v>
      </c>
      <c r="G30" s="91">
        <v>12</v>
      </c>
      <c r="H30" s="351"/>
      <c r="I30" s="464"/>
      <c r="J30" s="217"/>
      <c r="K30" s="465"/>
      <c r="L30" s="359" t="s">
        <v>8</v>
      </c>
      <c r="M30" s="217" t="s">
        <v>9</v>
      </c>
      <c r="N30" s="466"/>
      <c r="O30" s="216"/>
      <c r="P30" s="359" t="s">
        <v>8</v>
      </c>
      <c r="Q30" s="355" t="s">
        <v>9</v>
      </c>
      <c r="R30" s="216"/>
      <c r="S30" s="466"/>
      <c r="T30" s="359" t="s">
        <v>8</v>
      </c>
      <c r="U30" s="217" t="s">
        <v>9</v>
      </c>
      <c r="V30" s="354"/>
      <c r="W30" s="359"/>
      <c r="X30" s="463"/>
      <c r="Y30" s="216"/>
      <c r="Z30" s="351"/>
      <c r="AA30" s="354" t="s">
        <v>8</v>
      </c>
      <c r="AB30" s="216" t="s">
        <v>9</v>
      </c>
      <c r="AC30" s="352"/>
      <c r="AD30" s="357" t="s">
        <v>8</v>
      </c>
      <c r="AE30" s="463" t="s">
        <v>9</v>
      </c>
      <c r="AF30" s="355"/>
      <c r="AG30" s="351"/>
      <c r="AH30" s="351"/>
      <c r="AI30" s="351"/>
      <c r="AJ30" s="351" t="s">
        <v>8</v>
      </c>
      <c r="AK30" s="463" t="s">
        <v>9</v>
      </c>
      <c r="AL30" s="212">
        <v>144</v>
      </c>
    </row>
    <row r="31" spans="1:39" s="60" customFormat="1" ht="18" customHeight="1" x14ac:dyDescent="0.25">
      <c r="A31" s="161"/>
      <c r="B31" s="161"/>
      <c r="C31" s="258" t="s">
        <v>109</v>
      </c>
      <c r="D31" s="157" t="s">
        <v>18</v>
      </c>
      <c r="E31" s="76" t="s">
        <v>19</v>
      </c>
      <c r="F31" s="78">
        <v>36</v>
      </c>
      <c r="G31" s="91">
        <v>12</v>
      </c>
      <c r="H31" s="291" t="s">
        <v>8</v>
      </c>
      <c r="I31" s="95"/>
      <c r="J31" s="333"/>
      <c r="K31" s="348" t="s">
        <v>8</v>
      </c>
      <c r="L31" s="333"/>
      <c r="M31" s="269" t="s">
        <v>9</v>
      </c>
      <c r="N31" s="87"/>
      <c r="O31" s="95" t="s">
        <v>9</v>
      </c>
      <c r="P31" s="95"/>
      <c r="Q31" s="290" t="s">
        <v>8</v>
      </c>
      <c r="R31" s="335"/>
      <c r="S31" s="332"/>
      <c r="T31" s="95" t="s">
        <v>9</v>
      </c>
      <c r="U31" s="87"/>
      <c r="V31" s="294" t="s">
        <v>9</v>
      </c>
      <c r="W31" s="291"/>
      <c r="X31" s="90"/>
      <c r="Y31" s="332" t="s">
        <v>9</v>
      </c>
      <c r="Z31" s="333"/>
      <c r="AA31" s="290" t="s">
        <v>8</v>
      </c>
      <c r="AB31" s="335"/>
      <c r="AC31" s="87"/>
      <c r="AD31" s="108"/>
      <c r="AE31" s="87" t="s">
        <v>9</v>
      </c>
      <c r="AF31" s="329"/>
      <c r="AG31" s="335" t="s">
        <v>8</v>
      </c>
      <c r="AH31" s="152"/>
      <c r="AI31" s="292" t="s">
        <v>9</v>
      </c>
      <c r="AJ31" s="292"/>
      <c r="AK31" s="152"/>
      <c r="AL31" s="212">
        <v>144</v>
      </c>
    </row>
    <row r="32" spans="1:39" s="60" customFormat="1" ht="18" customHeight="1" x14ac:dyDescent="0.25">
      <c r="A32" s="161"/>
      <c r="B32" s="161"/>
      <c r="C32" s="258" t="s">
        <v>111</v>
      </c>
      <c r="D32" s="157" t="s">
        <v>18</v>
      </c>
      <c r="E32" s="76" t="s">
        <v>19</v>
      </c>
      <c r="F32" s="78">
        <v>36</v>
      </c>
      <c r="G32" s="91">
        <v>12</v>
      </c>
      <c r="H32" s="291" t="s">
        <v>8</v>
      </c>
      <c r="I32" s="95"/>
      <c r="J32" s="333"/>
      <c r="K32" s="332" t="s">
        <v>9</v>
      </c>
      <c r="L32" s="333"/>
      <c r="M32" s="291"/>
      <c r="N32" s="87"/>
      <c r="O32" s="95"/>
      <c r="P32" s="95" t="s">
        <v>9</v>
      </c>
      <c r="Q32" s="149"/>
      <c r="R32" s="335" t="s">
        <v>8</v>
      </c>
      <c r="S32" s="332"/>
      <c r="T32" s="95"/>
      <c r="U32" s="87" t="s">
        <v>9</v>
      </c>
      <c r="V32" s="149"/>
      <c r="W32" s="90" t="s">
        <v>8</v>
      </c>
      <c r="X32" s="90"/>
      <c r="Y32" s="332" t="s">
        <v>9</v>
      </c>
      <c r="Z32" s="333"/>
      <c r="AA32" s="149" t="s">
        <v>8</v>
      </c>
      <c r="AB32" s="334"/>
      <c r="AC32" s="87" t="s">
        <v>9</v>
      </c>
      <c r="AD32" s="108"/>
      <c r="AE32" s="87"/>
      <c r="AF32" s="469" t="s">
        <v>9</v>
      </c>
      <c r="AG32" s="334"/>
      <c r="AH32" s="472" t="s">
        <v>9</v>
      </c>
      <c r="AI32" s="345"/>
      <c r="AJ32" s="292"/>
      <c r="AK32" s="152" t="s">
        <v>8</v>
      </c>
      <c r="AL32" s="212">
        <v>144</v>
      </c>
    </row>
    <row r="33" spans="1:38" s="60" customFormat="1" ht="18" customHeight="1" x14ac:dyDescent="0.25">
      <c r="A33" s="161"/>
      <c r="B33" s="161"/>
      <c r="C33" s="258" t="s">
        <v>127</v>
      </c>
      <c r="D33" s="157" t="s">
        <v>18</v>
      </c>
      <c r="E33" s="76" t="s">
        <v>19</v>
      </c>
      <c r="F33" s="78">
        <v>36</v>
      </c>
      <c r="G33" s="91">
        <v>12</v>
      </c>
      <c r="H33" s="291"/>
      <c r="I33" s="95"/>
      <c r="J33" s="333" t="s">
        <v>9</v>
      </c>
      <c r="K33" s="332"/>
      <c r="L33" s="335" t="s">
        <v>8</v>
      </c>
      <c r="M33" s="291"/>
      <c r="N33" s="87"/>
      <c r="O33" s="95" t="s">
        <v>9</v>
      </c>
      <c r="P33" s="95"/>
      <c r="Q33" s="149"/>
      <c r="R33" s="335" t="s">
        <v>8</v>
      </c>
      <c r="S33" s="332"/>
      <c r="T33" s="95"/>
      <c r="U33" s="291" t="s">
        <v>8</v>
      </c>
      <c r="V33" s="149"/>
      <c r="W33" s="90"/>
      <c r="X33" s="90" t="s">
        <v>8</v>
      </c>
      <c r="Y33" s="332"/>
      <c r="Z33" s="333" t="s">
        <v>9</v>
      </c>
      <c r="AA33" s="149"/>
      <c r="AB33" s="334" t="s">
        <v>8</v>
      </c>
      <c r="AC33" s="87"/>
      <c r="AD33" s="108"/>
      <c r="AE33" s="462" t="s">
        <v>8</v>
      </c>
      <c r="AF33" s="329"/>
      <c r="AG33" s="471" t="s">
        <v>9</v>
      </c>
      <c r="AH33" s="470"/>
      <c r="AI33" s="345" t="s">
        <v>9</v>
      </c>
      <c r="AJ33" s="292"/>
      <c r="AK33" s="152" t="s">
        <v>8</v>
      </c>
      <c r="AL33" s="212">
        <v>144</v>
      </c>
    </row>
    <row r="34" spans="1:38" s="60" customFormat="1" ht="24.75" customHeight="1" x14ac:dyDescent="0.25">
      <c r="A34" s="161">
        <v>12348</v>
      </c>
      <c r="B34" s="161">
        <v>1419110</v>
      </c>
      <c r="C34" s="156" t="s">
        <v>95</v>
      </c>
      <c r="D34" s="157" t="s">
        <v>18</v>
      </c>
      <c r="E34" s="76" t="s">
        <v>19</v>
      </c>
      <c r="F34" s="78">
        <v>36</v>
      </c>
      <c r="G34" s="91">
        <f t="array" ref="G34">SUMPRODUCT((H34:AK34="SD")+(H34:AK34="SN")+(H34:AK34="MT")+(H34:AK34="8H")+(H34:AK34="N")+(H34:AK34="M")+(H34:AK34="T")+(H34:AK34="AE")+(H34:AK34="AB")+(H34:AK34="AA")+(H34:AK34="FC"))</f>
        <v>12</v>
      </c>
      <c r="H34" s="90" t="s">
        <v>8</v>
      </c>
      <c r="I34" s="95"/>
      <c r="J34" s="333"/>
      <c r="K34" s="332" t="s">
        <v>9</v>
      </c>
      <c r="L34" s="334"/>
      <c r="M34" s="291" t="s">
        <v>8</v>
      </c>
      <c r="N34" s="87"/>
      <c r="O34" s="95"/>
      <c r="P34" s="95" t="s">
        <v>9</v>
      </c>
      <c r="Q34" s="149"/>
      <c r="R34" s="335" t="s">
        <v>8</v>
      </c>
      <c r="S34" s="332"/>
      <c r="T34" s="95"/>
      <c r="U34" s="87" t="s">
        <v>9</v>
      </c>
      <c r="V34" s="108"/>
      <c r="W34" s="291" t="s">
        <v>8</v>
      </c>
      <c r="X34" s="90"/>
      <c r="Y34" s="348" t="s">
        <v>8</v>
      </c>
      <c r="Z34" s="333"/>
      <c r="AA34" s="149"/>
      <c r="AB34" s="334" t="s">
        <v>8</v>
      </c>
      <c r="AC34" s="90"/>
      <c r="AD34" s="95"/>
      <c r="AE34" s="87" t="s">
        <v>9</v>
      </c>
      <c r="AF34" s="329"/>
      <c r="AG34" s="334" t="s">
        <v>8</v>
      </c>
      <c r="AH34" s="61"/>
      <c r="AI34" s="345" t="s">
        <v>9</v>
      </c>
      <c r="AJ34" s="292"/>
      <c r="AK34" s="152"/>
      <c r="AL34" s="212">
        <f>SUMPRODUCT((H34:AK34="SD")*12 + (H34:AK34="SN")*12 + (H34:AK34="MT")*8 + (H34:AK34="M")*6 + (H34:AK34="T")*6)</f>
        <v>144</v>
      </c>
    </row>
    <row r="35" spans="1:38" ht="38.25" customHeight="1" x14ac:dyDescent="0.25">
      <c r="A35" s="163"/>
      <c r="B35" s="163"/>
      <c r="C35" s="556" t="s">
        <v>0</v>
      </c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557"/>
      <c r="AF35" s="557"/>
      <c r="AG35" s="557"/>
      <c r="AH35" s="557"/>
      <c r="AI35" s="557"/>
      <c r="AJ35" s="557"/>
      <c r="AK35" s="557"/>
      <c r="AL35" s="558"/>
    </row>
    <row r="36" spans="1:38" x14ac:dyDescent="0.25">
      <c r="A36" s="581"/>
      <c r="B36" s="581"/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2"/>
      <c r="AE36" s="582"/>
      <c r="AF36" s="582"/>
      <c r="AG36" s="582"/>
      <c r="AH36" s="582"/>
      <c r="AI36" s="582"/>
      <c r="AJ36" s="582"/>
      <c r="AK36" s="582"/>
      <c r="AL36" s="582"/>
    </row>
    <row r="37" spans="1:38" x14ac:dyDescent="0.25">
      <c r="A37" s="582"/>
      <c r="B37" s="582"/>
      <c r="C37" s="582"/>
      <c r="D37" s="582"/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</row>
    <row r="38" spans="1:38" x14ac:dyDescent="0.25">
      <c r="A38" s="582"/>
      <c r="B38" s="582"/>
      <c r="C38" s="582"/>
      <c r="D38" s="582"/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</row>
  </sheetData>
  <mergeCells count="9">
    <mergeCell ref="C35:N35"/>
    <mergeCell ref="O35:AL35"/>
    <mergeCell ref="A36:AL38"/>
    <mergeCell ref="D1:AH1"/>
    <mergeCell ref="A2:A3"/>
    <mergeCell ref="C2:F3"/>
    <mergeCell ref="H2:K2"/>
    <mergeCell ref="L2:P2"/>
    <mergeCell ref="Q2:A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805D-7A67-4789-BCF4-4ED014F3004C}">
  <dimension ref="A1:AM37"/>
  <sheetViews>
    <sheetView topLeftCell="A13" zoomScale="75" zoomScaleNormal="75" workbookViewId="0">
      <selection activeCell="D20" sqref="D20"/>
    </sheetView>
  </sheetViews>
  <sheetFormatPr defaultRowHeight="13.2" x14ac:dyDescent="0.25"/>
  <cols>
    <col min="1" max="1" width="12.21875" customWidth="1"/>
    <col min="2" max="2" width="13.44140625" customWidth="1"/>
    <col min="3" max="3" width="33" bestFit="1" customWidth="1"/>
    <col min="4" max="4" width="27.44140625" bestFit="1" customWidth="1"/>
    <col min="5" max="5" width="11.109375" bestFit="1" customWidth="1"/>
    <col min="6" max="6" width="5.109375" bestFit="1" customWidth="1"/>
    <col min="7" max="7" width="11" bestFit="1" customWidth="1"/>
    <col min="8" max="8" width="7.33203125" bestFit="1" customWidth="1"/>
    <col min="9" max="10" width="6.44140625" bestFit="1" customWidth="1"/>
    <col min="11" max="11" width="6.6640625" bestFit="1" customWidth="1"/>
    <col min="12" max="12" width="5.6640625" bestFit="1" customWidth="1"/>
    <col min="13" max="13" width="6.109375" bestFit="1" customWidth="1"/>
    <col min="14" max="14" width="6.44140625" bestFit="1" customWidth="1"/>
    <col min="15" max="15" width="7.33203125" bestFit="1" customWidth="1"/>
    <col min="16" max="17" width="6.44140625" bestFit="1" customWidth="1"/>
    <col min="18" max="18" width="6.6640625" bestFit="1" customWidth="1"/>
    <col min="19" max="19" width="6" bestFit="1" customWidth="1"/>
    <col min="20" max="20" width="6.109375" bestFit="1" customWidth="1"/>
    <col min="21" max="21" width="6.44140625" bestFit="1" customWidth="1"/>
    <col min="22" max="22" width="7.33203125" bestFit="1" customWidth="1"/>
    <col min="23" max="24" width="6.44140625" bestFit="1" customWidth="1"/>
    <col min="25" max="25" width="6.6640625" bestFit="1" customWidth="1"/>
    <col min="26" max="26" width="8.6640625" bestFit="1" customWidth="1"/>
    <col min="27" max="28" width="6.44140625" bestFit="1" customWidth="1"/>
    <col min="29" max="29" width="7.33203125" bestFit="1" customWidth="1"/>
    <col min="30" max="31" width="6.44140625" bestFit="1" customWidth="1"/>
    <col min="32" max="32" width="6.6640625" bestFit="1" customWidth="1"/>
    <col min="33" max="33" width="6.44140625" bestFit="1" customWidth="1"/>
    <col min="34" max="37" width="6.33203125" customWidth="1"/>
    <col min="38" max="38" width="12.77734375" customWidth="1"/>
  </cols>
  <sheetData>
    <row r="1" spans="1:39" ht="65.25" customHeight="1" x14ac:dyDescent="0.25">
      <c r="A1" s="536"/>
      <c r="B1" s="536"/>
      <c r="C1" s="537"/>
      <c r="D1" s="594" t="s">
        <v>63</v>
      </c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6"/>
      <c r="AI1" s="230"/>
      <c r="AJ1" s="230"/>
      <c r="AK1" s="230"/>
      <c r="AL1" s="287"/>
    </row>
    <row r="2" spans="1:39" x14ac:dyDescent="0.25">
      <c r="A2" s="544" t="s">
        <v>122</v>
      </c>
      <c r="B2" s="254"/>
      <c r="C2" s="546" t="s">
        <v>121</v>
      </c>
      <c r="D2" s="547"/>
      <c r="E2" s="547"/>
      <c r="F2" s="548"/>
      <c r="G2" s="12"/>
      <c r="H2" s="600" t="s">
        <v>3</v>
      </c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  <c r="AJ2" s="601"/>
      <c r="AK2" s="601"/>
      <c r="AL2" s="602"/>
    </row>
    <row r="3" spans="1:39" ht="21.75" customHeight="1" x14ac:dyDescent="0.25">
      <c r="A3" s="599"/>
      <c r="B3" s="255" t="s">
        <v>120</v>
      </c>
      <c r="C3" s="549"/>
      <c r="D3" s="550"/>
      <c r="E3" s="550"/>
      <c r="F3" s="550"/>
      <c r="G3" s="20"/>
      <c r="H3" s="458" t="str">
        <f>UPPER(TEXT(H4,"ddd"))</f>
        <v>QUA</v>
      </c>
      <c r="I3" s="458" t="str">
        <f t="shared" ref="I3:AH3" si="0">UPPER(TEXT(I4,"ddd"))</f>
        <v>QUI</v>
      </c>
      <c r="J3" s="458" t="str">
        <f t="shared" si="0"/>
        <v>SEX</v>
      </c>
      <c r="K3" s="458" t="str">
        <f t="shared" si="0"/>
        <v>SÁB</v>
      </c>
      <c r="L3" s="458" t="str">
        <f t="shared" si="0"/>
        <v>DOM</v>
      </c>
      <c r="M3" s="458" t="str">
        <f t="shared" si="0"/>
        <v>SEG</v>
      </c>
      <c r="N3" s="458" t="str">
        <f t="shared" si="0"/>
        <v>TER</v>
      </c>
      <c r="O3" s="458" t="str">
        <f t="shared" si="0"/>
        <v>QUA</v>
      </c>
      <c r="P3" s="458" t="str">
        <f t="shared" si="0"/>
        <v>QUI</v>
      </c>
      <c r="Q3" s="458" t="str">
        <f t="shared" si="0"/>
        <v>SEX</v>
      </c>
      <c r="R3" s="458" t="str">
        <f t="shared" si="0"/>
        <v>SÁB</v>
      </c>
      <c r="S3" s="458" t="str">
        <f t="shared" si="0"/>
        <v>DOM</v>
      </c>
      <c r="T3" s="458" t="str">
        <f t="shared" si="0"/>
        <v>SEG</v>
      </c>
      <c r="U3" s="458" t="str">
        <f t="shared" si="0"/>
        <v>TER</v>
      </c>
      <c r="V3" s="458" t="str">
        <f t="shared" si="0"/>
        <v>QUA</v>
      </c>
      <c r="W3" s="458" t="str">
        <f t="shared" si="0"/>
        <v>QUI</v>
      </c>
      <c r="X3" s="458" t="str">
        <f t="shared" si="0"/>
        <v>SEX</v>
      </c>
      <c r="Y3" s="458" t="str">
        <f t="shared" si="0"/>
        <v>SÁB</v>
      </c>
      <c r="Z3" s="458" t="str">
        <f t="shared" si="0"/>
        <v>DOM</v>
      </c>
      <c r="AA3" s="458" t="str">
        <f t="shared" si="0"/>
        <v>SEG</v>
      </c>
      <c r="AB3" s="458" t="str">
        <f t="shared" si="0"/>
        <v>TER</v>
      </c>
      <c r="AC3" s="458" t="str">
        <f t="shared" si="0"/>
        <v>QUA</v>
      </c>
      <c r="AD3" s="458" t="str">
        <f t="shared" si="0"/>
        <v>QUI</v>
      </c>
      <c r="AE3" s="458" t="str">
        <f t="shared" si="0"/>
        <v>SEX</v>
      </c>
      <c r="AF3" s="458" t="str">
        <f t="shared" si="0"/>
        <v>SÁB</v>
      </c>
      <c r="AG3" s="458" t="str">
        <f t="shared" si="0"/>
        <v>DOM</v>
      </c>
      <c r="AH3" s="458" t="str">
        <f t="shared" si="0"/>
        <v>SEG</v>
      </c>
      <c r="AI3" s="458" t="s">
        <v>119</v>
      </c>
      <c r="AJ3" s="458" t="s">
        <v>130</v>
      </c>
      <c r="AK3" s="458" t="s">
        <v>131</v>
      </c>
      <c r="AL3" s="14" t="s">
        <v>16</v>
      </c>
    </row>
    <row r="4" spans="1:39" ht="17.25" customHeight="1" x14ac:dyDescent="0.25">
      <c r="A4" s="22"/>
      <c r="B4" s="22"/>
      <c r="C4" s="22" t="s">
        <v>41</v>
      </c>
      <c r="D4" s="22" t="s">
        <v>4</v>
      </c>
      <c r="E4" s="22" t="s">
        <v>5</v>
      </c>
      <c r="F4" s="22" t="s">
        <v>6</v>
      </c>
      <c r="G4" s="24" t="s">
        <v>11</v>
      </c>
      <c r="H4" s="474">
        <v>46113</v>
      </c>
      <c r="I4" s="475">
        <f>H4+1</f>
        <v>46114</v>
      </c>
      <c r="J4" s="475">
        <f t="shared" ref="J4:AH4" si="1">I4+1</f>
        <v>46115</v>
      </c>
      <c r="K4" s="475">
        <f t="shared" si="1"/>
        <v>46116</v>
      </c>
      <c r="L4" s="475">
        <f t="shared" si="1"/>
        <v>46117</v>
      </c>
      <c r="M4" s="475">
        <f t="shared" si="1"/>
        <v>46118</v>
      </c>
      <c r="N4" s="475">
        <f t="shared" si="1"/>
        <v>46119</v>
      </c>
      <c r="O4" s="475">
        <f t="shared" si="1"/>
        <v>46120</v>
      </c>
      <c r="P4" s="475">
        <f t="shared" si="1"/>
        <v>46121</v>
      </c>
      <c r="Q4" s="475">
        <f t="shared" si="1"/>
        <v>46122</v>
      </c>
      <c r="R4" s="475">
        <f t="shared" si="1"/>
        <v>46123</v>
      </c>
      <c r="S4" s="475">
        <f t="shared" si="1"/>
        <v>46124</v>
      </c>
      <c r="T4" s="475">
        <f t="shared" si="1"/>
        <v>46125</v>
      </c>
      <c r="U4" s="475">
        <f t="shared" si="1"/>
        <v>46126</v>
      </c>
      <c r="V4" s="475">
        <f t="shared" si="1"/>
        <v>46127</v>
      </c>
      <c r="W4" s="475">
        <f t="shared" si="1"/>
        <v>46128</v>
      </c>
      <c r="X4" s="475">
        <f t="shared" si="1"/>
        <v>46129</v>
      </c>
      <c r="Y4" s="475">
        <f t="shared" si="1"/>
        <v>46130</v>
      </c>
      <c r="Z4" s="475">
        <f t="shared" si="1"/>
        <v>46131</v>
      </c>
      <c r="AA4" s="475">
        <f t="shared" si="1"/>
        <v>46132</v>
      </c>
      <c r="AB4" s="475">
        <f t="shared" si="1"/>
        <v>46133</v>
      </c>
      <c r="AC4" s="475">
        <f t="shared" si="1"/>
        <v>46134</v>
      </c>
      <c r="AD4" s="475">
        <f t="shared" si="1"/>
        <v>46135</v>
      </c>
      <c r="AE4" s="475">
        <f t="shared" si="1"/>
        <v>46136</v>
      </c>
      <c r="AF4" s="475">
        <f t="shared" si="1"/>
        <v>46137</v>
      </c>
      <c r="AG4" s="475">
        <f t="shared" si="1"/>
        <v>46138</v>
      </c>
      <c r="AH4" s="475">
        <f t="shared" si="1"/>
        <v>46139</v>
      </c>
      <c r="AI4" s="475">
        <v>46140</v>
      </c>
      <c r="AJ4" s="475">
        <v>46141</v>
      </c>
      <c r="AK4" s="475">
        <v>46142</v>
      </c>
      <c r="AL4" s="16" t="s">
        <v>2</v>
      </c>
    </row>
    <row r="5" spans="1:39" ht="21" customHeight="1" x14ac:dyDescent="0.25">
      <c r="A5" s="53">
        <v>17875</v>
      </c>
      <c r="B5" s="53">
        <v>438793</v>
      </c>
      <c r="C5" s="340" t="s">
        <v>42</v>
      </c>
      <c r="D5" s="25" t="s">
        <v>18</v>
      </c>
      <c r="E5" s="25" t="s">
        <v>37</v>
      </c>
      <c r="F5" s="23">
        <v>36</v>
      </c>
      <c r="G5" s="168">
        <f t="shared" ref="G5:G10" si="2">SUMPRODUCT((H5:AK5="SD")+(H5:AK5="SN")+(H5:AK5="MT")+(H5:AK5="8H")+(H5:AK5="N")+(H5:AK5="M")+(H5:AK5="T")+(H5:AK5="AE")+(H5:AK5="AB")+(H5:AK5="AA")+(H5:AK5="FC"))</f>
        <v>12</v>
      </c>
      <c r="H5" s="400" t="s">
        <v>8</v>
      </c>
      <c r="I5" s="366"/>
      <c r="J5" s="209"/>
      <c r="K5" s="208" t="s">
        <v>9</v>
      </c>
      <c r="L5" s="209"/>
      <c r="M5" s="397" t="s">
        <v>8</v>
      </c>
      <c r="N5" s="208"/>
      <c r="O5" s="209"/>
      <c r="P5" s="366" t="s">
        <v>8</v>
      </c>
      <c r="Q5" s="366"/>
      <c r="R5" s="209"/>
      <c r="S5" s="398" t="s">
        <v>9</v>
      </c>
      <c r="T5" s="208"/>
      <c r="U5" s="397" t="s">
        <v>8</v>
      </c>
      <c r="V5" s="366"/>
      <c r="W5" s="366"/>
      <c r="X5" s="397" t="s">
        <v>8</v>
      </c>
      <c r="Y5" s="366"/>
      <c r="Z5" s="209" t="s">
        <v>9</v>
      </c>
      <c r="AA5" s="366"/>
      <c r="AB5" s="208"/>
      <c r="AC5" s="366" t="s">
        <v>8</v>
      </c>
      <c r="AD5" s="366"/>
      <c r="AE5" s="209"/>
      <c r="AF5" s="209" t="s">
        <v>9</v>
      </c>
      <c r="AG5" s="366"/>
      <c r="AH5" s="397" t="s">
        <v>8</v>
      </c>
      <c r="AI5" s="374"/>
      <c r="AJ5" s="374"/>
      <c r="AK5" s="375" t="s">
        <v>8</v>
      </c>
      <c r="AL5" s="5">
        <f t="shared" ref="AL5:AL10" si="3">SUMPRODUCT((H5:AK5="SD")*12 + (H5:AK5="SN")*12 + (H5:AK5="MT")*8 + (H5:AK5="M")*6 + (H5:AK5="T")*6)</f>
        <v>144</v>
      </c>
      <c r="AM5" s="235"/>
    </row>
    <row r="6" spans="1:39" ht="21" customHeight="1" x14ac:dyDescent="0.3">
      <c r="A6" s="84">
        <v>17871</v>
      </c>
      <c r="B6" s="84">
        <v>484497</v>
      </c>
      <c r="C6" s="341" t="s">
        <v>66</v>
      </c>
      <c r="D6" s="42" t="s">
        <v>18</v>
      </c>
      <c r="E6" s="42" t="s">
        <v>37</v>
      </c>
      <c r="F6" s="43">
        <v>36</v>
      </c>
      <c r="G6" s="168">
        <f t="shared" si="2"/>
        <v>12</v>
      </c>
      <c r="H6" s="368"/>
      <c r="I6" s="365"/>
      <c r="J6" s="209"/>
      <c r="K6" s="397" t="s">
        <v>8</v>
      </c>
      <c r="L6" s="398" t="s">
        <v>9</v>
      </c>
      <c r="M6" s="367"/>
      <c r="N6" s="208"/>
      <c r="O6" s="397" t="s">
        <v>8</v>
      </c>
      <c r="P6" s="398" t="s">
        <v>9</v>
      </c>
      <c r="Q6" s="366"/>
      <c r="R6" s="366"/>
      <c r="S6" s="209"/>
      <c r="T6" s="397" t="s">
        <v>8</v>
      </c>
      <c r="U6" s="398" t="s">
        <v>9</v>
      </c>
      <c r="V6" s="366"/>
      <c r="W6" s="366"/>
      <c r="X6" s="397" t="s">
        <v>8</v>
      </c>
      <c r="Y6" s="208" t="s">
        <v>9</v>
      </c>
      <c r="Z6" s="209"/>
      <c r="AA6" s="366"/>
      <c r="AB6" s="367" t="s">
        <v>8</v>
      </c>
      <c r="AC6" s="209" t="s">
        <v>9</v>
      </c>
      <c r="AD6" s="208"/>
      <c r="AE6" s="209"/>
      <c r="AF6" s="366"/>
      <c r="AG6" s="365"/>
      <c r="AH6" s="399" t="s">
        <v>8</v>
      </c>
      <c r="AI6" s="369" t="s">
        <v>9</v>
      </c>
      <c r="AJ6" s="369"/>
      <c r="AK6" s="369"/>
      <c r="AL6" s="5">
        <f t="shared" si="3"/>
        <v>144</v>
      </c>
      <c r="AM6" s="235"/>
    </row>
    <row r="7" spans="1:39" ht="21" customHeight="1" x14ac:dyDescent="0.25">
      <c r="A7" s="53">
        <v>17862</v>
      </c>
      <c r="B7" s="53">
        <v>1375395</v>
      </c>
      <c r="C7" s="340" t="s">
        <v>43</v>
      </c>
      <c r="D7" s="25" t="s">
        <v>18</v>
      </c>
      <c r="E7" s="25" t="s">
        <v>37</v>
      </c>
      <c r="F7" s="23">
        <v>36</v>
      </c>
      <c r="G7" s="168">
        <f t="shared" si="2"/>
        <v>12</v>
      </c>
      <c r="H7" s="370"/>
      <c r="I7" s="209" t="s">
        <v>9</v>
      </c>
      <c r="J7" s="209"/>
      <c r="K7" s="209"/>
      <c r="L7" s="371" t="s">
        <v>8</v>
      </c>
      <c r="M7" s="209" t="s">
        <v>9</v>
      </c>
      <c r="N7" s="208"/>
      <c r="O7" s="209"/>
      <c r="P7" s="367" t="s">
        <v>8</v>
      </c>
      <c r="Q7" s="209" t="s">
        <v>9</v>
      </c>
      <c r="R7" s="366"/>
      <c r="S7" s="208"/>
      <c r="T7" s="209" t="s">
        <v>9</v>
      </c>
      <c r="U7" s="367" t="s">
        <v>8</v>
      </c>
      <c r="V7" s="366"/>
      <c r="W7" s="366"/>
      <c r="X7" s="367" t="s">
        <v>8</v>
      </c>
      <c r="Y7" s="209" t="s">
        <v>9</v>
      </c>
      <c r="Z7" s="208"/>
      <c r="AA7" s="208"/>
      <c r="AB7" s="209" t="s">
        <v>9</v>
      </c>
      <c r="AC7" s="208"/>
      <c r="AD7" s="209"/>
      <c r="AE7" s="208"/>
      <c r="AF7" s="367" t="s">
        <v>8</v>
      </c>
      <c r="AG7" s="366"/>
      <c r="AH7" s="372"/>
      <c r="AI7" s="208"/>
      <c r="AJ7" s="473" t="s">
        <v>9</v>
      </c>
      <c r="AK7" s="373"/>
      <c r="AL7" s="5">
        <f t="shared" si="3"/>
        <v>144</v>
      </c>
      <c r="AM7" s="235"/>
    </row>
    <row r="8" spans="1:39" ht="21" customHeight="1" x14ac:dyDescent="0.25">
      <c r="A8" s="53">
        <v>17840</v>
      </c>
      <c r="B8" s="53"/>
      <c r="C8" s="52" t="s">
        <v>44</v>
      </c>
      <c r="D8" s="25" t="s">
        <v>18</v>
      </c>
      <c r="E8" s="25" t="s">
        <v>37</v>
      </c>
      <c r="F8" s="23">
        <v>36</v>
      </c>
      <c r="G8" s="168">
        <f t="shared" si="2"/>
        <v>12</v>
      </c>
      <c r="H8" s="297" t="s">
        <v>9</v>
      </c>
      <c r="I8" s="41"/>
      <c r="J8" s="342" t="s">
        <v>8</v>
      </c>
      <c r="K8" s="303"/>
      <c r="L8" s="303"/>
      <c r="M8" s="401" t="s">
        <v>9</v>
      </c>
      <c r="N8" s="164"/>
      <c r="O8" s="402" t="s">
        <v>8</v>
      </c>
      <c r="P8" s="164"/>
      <c r="Q8" s="37"/>
      <c r="R8" s="306" t="s">
        <v>9</v>
      </c>
      <c r="S8" s="304"/>
      <c r="T8" s="402" t="s">
        <v>8</v>
      </c>
      <c r="U8" s="164"/>
      <c r="V8" s="37"/>
      <c r="W8" s="401" t="s">
        <v>9</v>
      </c>
      <c r="X8" s="164"/>
      <c r="Y8" s="403" t="s">
        <v>8</v>
      </c>
      <c r="Z8" s="304"/>
      <c r="AA8" s="164"/>
      <c r="AB8" s="404" t="s">
        <v>9</v>
      </c>
      <c r="AC8" s="164"/>
      <c r="AD8" s="402" t="s">
        <v>8</v>
      </c>
      <c r="AE8" s="164"/>
      <c r="AF8" s="303"/>
      <c r="AG8" s="404" t="s">
        <v>9</v>
      </c>
      <c r="AH8" s="172"/>
      <c r="AI8" s="405" t="s">
        <v>8</v>
      </c>
      <c r="AJ8" s="265"/>
      <c r="AK8" s="242"/>
      <c r="AL8" s="5">
        <f t="shared" si="3"/>
        <v>144</v>
      </c>
      <c r="AM8" s="235"/>
    </row>
    <row r="9" spans="1:39" ht="21" customHeight="1" x14ac:dyDescent="0.25">
      <c r="A9" s="83">
        <v>17859</v>
      </c>
      <c r="B9" s="83">
        <v>443070</v>
      </c>
      <c r="C9" s="340" t="s">
        <v>45</v>
      </c>
      <c r="D9" s="25" t="s">
        <v>18</v>
      </c>
      <c r="E9" s="25" t="s">
        <v>37</v>
      </c>
      <c r="F9" s="23">
        <v>36</v>
      </c>
      <c r="G9" s="168">
        <f t="shared" si="2"/>
        <v>12</v>
      </c>
      <c r="H9" s="370" t="s">
        <v>8</v>
      </c>
      <c r="I9" s="367"/>
      <c r="J9" s="209" t="s">
        <v>9</v>
      </c>
      <c r="K9" s="209"/>
      <c r="L9" s="209"/>
      <c r="M9" s="366"/>
      <c r="N9" s="208" t="s">
        <v>9</v>
      </c>
      <c r="O9" s="367"/>
      <c r="P9" s="208" t="s">
        <v>9</v>
      </c>
      <c r="Q9" s="366"/>
      <c r="R9" s="209" t="s">
        <v>9</v>
      </c>
      <c r="S9" s="366"/>
      <c r="T9" s="209" t="s">
        <v>9</v>
      </c>
      <c r="U9" s="208"/>
      <c r="V9" s="209" t="s">
        <v>9</v>
      </c>
      <c r="W9" s="366"/>
      <c r="X9" s="208" t="s">
        <v>9</v>
      </c>
      <c r="Y9" s="209"/>
      <c r="Z9" s="208" t="s">
        <v>9</v>
      </c>
      <c r="AA9" s="208"/>
      <c r="AB9" s="209" t="s">
        <v>9</v>
      </c>
      <c r="AC9" s="208"/>
      <c r="AD9" s="209"/>
      <c r="AE9" s="208"/>
      <c r="AF9" s="209" t="s">
        <v>9</v>
      </c>
      <c r="AG9" s="366"/>
      <c r="AH9" s="372"/>
      <c r="AI9" s="208"/>
      <c r="AJ9" s="411" t="s">
        <v>9</v>
      </c>
      <c r="AK9" s="373"/>
      <c r="AL9" s="5">
        <f t="shared" si="3"/>
        <v>144</v>
      </c>
      <c r="AM9" s="235"/>
    </row>
    <row r="10" spans="1:39" ht="21" customHeight="1" x14ac:dyDescent="0.25">
      <c r="A10" s="85">
        <v>17832</v>
      </c>
      <c r="B10" s="85">
        <v>998911</v>
      </c>
      <c r="C10" s="52" t="s">
        <v>46</v>
      </c>
      <c r="D10" s="25" t="s">
        <v>18</v>
      </c>
      <c r="E10" s="25" t="s">
        <v>37</v>
      </c>
      <c r="F10" s="23">
        <v>36</v>
      </c>
      <c r="G10" s="168">
        <f t="shared" si="2"/>
        <v>12</v>
      </c>
      <c r="H10" s="297"/>
      <c r="I10" s="41" t="s">
        <v>9</v>
      </c>
      <c r="J10" s="303"/>
      <c r="K10" s="305" t="s">
        <v>8</v>
      </c>
      <c r="L10" s="304"/>
      <c r="M10" s="33"/>
      <c r="N10" s="164" t="s">
        <v>9</v>
      </c>
      <c r="O10" s="33"/>
      <c r="P10" s="37" t="s">
        <v>8</v>
      </c>
      <c r="Q10" s="33"/>
      <c r="R10" s="304"/>
      <c r="S10" s="304" t="s">
        <v>9</v>
      </c>
      <c r="T10" s="33"/>
      <c r="U10" s="37" t="s">
        <v>8</v>
      </c>
      <c r="V10" s="33"/>
      <c r="W10" s="164"/>
      <c r="X10" s="164"/>
      <c r="Y10" s="34"/>
      <c r="Z10" s="305" t="s">
        <v>8</v>
      </c>
      <c r="AA10" s="33"/>
      <c r="AB10" s="304"/>
      <c r="AC10" s="164" t="s">
        <v>9</v>
      </c>
      <c r="AD10" s="172"/>
      <c r="AE10" s="37" t="s">
        <v>8</v>
      </c>
      <c r="AF10" s="323"/>
      <c r="AG10" s="304" t="s">
        <v>9</v>
      </c>
      <c r="AH10" s="164" t="s">
        <v>9</v>
      </c>
      <c r="AI10" s="200"/>
      <c r="AJ10" s="201"/>
      <c r="AK10" s="243" t="s">
        <v>9</v>
      </c>
      <c r="AL10" s="5">
        <f t="shared" si="3"/>
        <v>144</v>
      </c>
      <c r="AM10" s="235"/>
    </row>
    <row r="11" spans="1:39" ht="21" customHeight="1" x14ac:dyDescent="0.25">
      <c r="A11" s="85"/>
      <c r="B11" s="85"/>
      <c r="C11" s="52" t="s">
        <v>48</v>
      </c>
      <c r="D11" s="25" t="s">
        <v>18</v>
      </c>
      <c r="E11" s="25" t="s">
        <v>37</v>
      </c>
      <c r="F11" s="23">
        <v>36</v>
      </c>
      <c r="G11" s="168">
        <v>12</v>
      </c>
      <c r="H11" s="297"/>
      <c r="I11" s="10" t="s">
        <v>8</v>
      </c>
      <c r="J11" s="303"/>
      <c r="K11" s="303" t="s">
        <v>9</v>
      </c>
      <c r="L11" s="304"/>
      <c r="M11" s="402" t="s">
        <v>8</v>
      </c>
      <c r="N11" s="164"/>
      <c r="O11" s="33" t="s">
        <v>9</v>
      </c>
      <c r="P11" s="37"/>
      <c r="Q11" s="402" t="s">
        <v>8</v>
      </c>
      <c r="R11" s="304"/>
      <c r="S11" s="304"/>
      <c r="T11" s="33" t="s">
        <v>9</v>
      </c>
      <c r="U11" s="37"/>
      <c r="V11" s="402" t="s">
        <v>8</v>
      </c>
      <c r="W11" s="164"/>
      <c r="X11" s="164"/>
      <c r="Y11" s="34"/>
      <c r="Z11" s="305"/>
      <c r="AA11" s="402" t="s">
        <v>8</v>
      </c>
      <c r="AB11" s="304"/>
      <c r="AC11" s="164"/>
      <c r="AD11" s="459" t="s">
        <v>8</v>
      </c>
      <c r="AE11" s="37"/>
      <c r="AF11" s="460" t="s">
        <v>9</v>
      </c>
      <c r="AG11" s="304"/>
      <c r="AH11" s="164"/>
      <c r="AI11" s="200" t="s">
        <v>9</v>
      </c>
      <c r="AJ11" s="201"/>
      <c r="AK11" s="409" t="s">
        <v>8</v>
      </c>
      <c r="AL11" s="5">
        <v>144</v>
      </c>
      <c r="AM11" s="235"/>
    </row>
    <row r="12" spans="1:39" ht="21" customHeight="1" x14ac:dyDescent="0.25">
      <c r="A12" s="85">
        <v>1125</v>
      </c>
      <c r="B12" s="85"/>
      <c r="C12" s="52" t="s">
        <v>87</v>
      </c>
      <c r="D12" s="25" t="s">
        <v>39</v>
      </c>
      <c r="E12" s="25" t="s">
        <v>37</v>
      </c>
      <c r="F12" s="23">
        <v>36</v>
      </c>
      <c r="G12" s="168">
        <v>12</v>
      </c>
      <c r="H12" s="297"/>
      <c r="I12" s="41"/>
      <c r="J12" s="406" t="s">
        <v>9</v>
      </c>
      <c r="K12" s="305"/>
      <c r="L12" s="407" t="s">
        <v>8</v>
      </c>
      <c r="M12" s="402"/>
      <c r="N12" s="164"/>
      <c r="O12" s="33" t="s">
        <v>9</v>
      </c>
      <c r="P12" s="37"/>
      <c r="Q12" s="402" t="s">
        <v>8</v>
      </c>
      <c r="R12" s="304"/>
      <c r="S12" s="304"/>
      <c r="T12" s="33" t="s">
        <v>9</v>
      </c>
      <c r="U12" s="37"/>
      <c r="V12" s="402" t="s">
        <v>8</v>
      </c>
      <c r="W12" s="164"/>
      <c r="X12" s="164"/>
      <c r="Y12" s="34" t="s">
        <v>9</v>
      </c>
      <c r="Z12" s="305"/>
      <c r="AA12" s="402" t="s">
        <v>8</v>
      </c>
      <c r="AB12" s="304"/>
      <c r="AC12" s="164"/>
      <c r="AD12" s="175" t="s">
        <v>9</v>
      </c>
      <c r="AE12" s="37"/>
      <c r="AF12" s="408" t="s">
        <v>8</v>
      </c>
      <c r="AG12" s="304"/>
      <c r="AH12" s="164"/>
      <c r="AI12" s="200" t="s">
        <v>9</v>
      </c>
      <c r="AJ12" s="200"/>
      <c r="AK12" s="409" t="s">
        <v>8</v>
      </c>
      <c r="AL12" s="5">
        <v>144</v>
      </c>
      <c r="AM12" s="235"/>
    </row>
    <row r="13" spans="1:39" ht="21" customHeight="1" x14ac:dyDescent="0.25">
      <c r="A13" s="85">
        <v>17876</v>
      </c>
      <c r="B13" s="85">
        <v>1286040</v>
      </c>
      <c r="C13" s="52" t="s">
        <v>47</v>
      </c>
      <c r="D13" s="25" t="s">
        <v>18</v>
      </c>
      <c r="E13" s="25" t="s">
        <v>37</v>
      </c>
      <c r="F13" s="23">
        <v>36</v>
      </c>
      <c r="G13" s="168">
        <f>SUMPRODUCT((H13:AK13="SD")+(H13:AK13="SN")+(H13:AK13="MT")+(H13:AK13="8H")+(H13:AK13="N")+(H13:AK13="M")+(H13:AK13="T")+(H13:AK13="AE")+(H13:AK13="AB")+(H13:AK13="AA")+(H13:AK13="FC"))</f>
        <v>12</v>
      </c>
      <c r="H13" s="297"/>
      <c r="I13" s="41" t="s">
        <v>9</v>
      </c>
      <c r="J13" s="304"/>
      <c r="K13" s="305" t="s">
        <v>8</v>
      </c>
      <c r="L13" s="304"/>
      <c r="M13" s="33"/>
      <c r="N13" s="164" t="s">
        <v>9</v>
      </c>
      <c r="O13" s="33"/>
      <c r="P13" s="37" t="s">
        <v>8</v>
      </c>
      <c r="Q13" s="164"/>
      <c r="R13" s="303"/>
      <c r="S13" s="304" t="s">
        <v>9</v>
      </c>
      <c r="T13" s="164"/>
      <c r="U13" s="37" t="s">
        <v>8</v>
      </c>
      <c r="V13" s="164"/>
      <c r="W13" s="33"/>
      <c r="X13" s="164" t="s">
        <v>9</v>
      </c>
      <c r="Y13" s="174"/>
      <c r="Z13" s="305" t="s">
        <v>8</v>
      </c>
      <c r="AA13" s="164"/>
      <c r="AB13" s="303"/>
      <c r="AC13" s="164" t="s">
        <v>9</v>
      </c>
      <c r="AD13" s="172"/>
      <c r="AE13" s="37" t="s">
        <v>8</v>
      </c>
      <c r="AF13" s="323"/>
      <c r="AG13" s="303"/>
      <c r="AH13" s="164" t="s">
        <v>9</v>
      </c>
      <c r="AI13" s="200"/>
      <c r="AJ13" s="430"/>
      <c r="AK13" s="243" t="s">
        <v>9</v>
      </c>
      <c r="AL13" s="5">
        <f t="shared" ref="AL13:AL28" si="4">SUMPRODUCT((H13:AK13="SD")*12 + (H13:AK13="SN")*12 + (H13:AK13="MT")*8 + (H13:AK13="M")*6 + (H13:AK13="T")*6)</f>
        <v>144</v>
      </c>
      <c r="AM13" s="235"/>
    </row>
    <row r="14" spans="1:39" ht="21" customHeight="1" x14ac:dyDescent="0.25">
      <c r="A14" s="85">
        <v>17847</v>
      </c>
      <c r="B14" s="85">
        <v>3346574</v>
      </c>
      <c r="C14" s="268" t="s">
        <v>70</v>
      </c>
      <c r="D14" s="25" t="s">
        <v>18</v>
      </c>
      <c r="E14" s="25" t="s">
        <v>37</v>
      </c>
      <c r="F14" s="23">
        <v>36</v>
      </c>
      <c r="G14" s="168">
        <f t="shared" ref="G14:G28" si="5">SUMPRODUCT((H14:AK14="SD")+(H14:AK14="SN")+(H14:AK14="MT")+(H14:AK14="8H")+(H14:AK14="N")+(H14:AK14="M")+(H14:AK14="T")+(H14:AK14="AE")+(H14:AK14="AB")+(H14:AK14="AA")+(H14:AK14="FC"))</f>
        <v>12</v>
      </c>
      <c r="H14" s="410" t="s">
        <v>8</v>
      </c>
      <c r="I14" s="37"/>
      <c r="J14" s="304"/>
      <c r="K14" s="406" t="s">
        <v>9</v>
      </c>
      <c r="L14" s="305"/>
      <c r="M14" s="402" t="s">
        <v>8</v>
      </c>
      <c r="N14" s="33"/>
      <c r="O14" s="33"/>
      <c r="P14" s="285" t="s">
        <v>9</v>
      </c>
      <c r="Q14" s="37"/>
      <c r="R14" s="342" t="s">
        <v>8</v>
      </c>
      <c r="S14" s="305"/>
      <c r="T14" s="164"/>
      <c r="U14" s="285" t="s">
        <v>9</v>
      </c>
      <c r="V14" s="33"/>
      <c r="W14" s="402" t="s">
        <v>8</v>
      </c>
      <c r="X14" s="37"/>
      <c r="Y14" s="174"/>
      <c r="Z14" s="303" t="s">
        <v>9</v>
      </c>
      <c r="AA14" s="37"/>
      <c r="AB14" s="407" t="s">
        <v>8</v>
      </c>
      <c r="AC14" s="37"/>
      <c r="AD14" s="285" t="s">
        <v>9</v>
      </c>
      <c r="AE14" s="33"/>
      <c r="AF14" s="305"/>
      <c r="AG14" s="408" t="s">
        <v>8</v>
      </c>
      <c r="AH14" s="37"/>
      <c r="AI14" s="201" t="s">
        <v>8</v>
      </c>
      <c r="AJ14" s="250"/>
      <c r="AK14" s="244"/>
      <c r="AL14" s="5">
        <f t="shared" si="4"/>
        <v>144</v>
      </c>
      <c r="AM14" s="235"/>
    </row>
    <row r="15" spans="1:39" ht="21" customHeight="1" x14ac:dyDescent="0.25">
      <c r="A15" s="83">
        <v>17819</v>
      </c>
      <c r="B15" s="83">
        <v>1481030</v>
      </c>
      <c r="C15" s="52" t="s">
        <v>49</v>
      </c>
      <c r="D15" s="25" t="s">
        <v>18</v>
      </c>
      <c r="E15" s="25" t="s">
        <v>37</v>
      </c>
      <c r="F15" s="23">
        <v>36</v>
      </c>
      <c r="G15" s="168">
        <f t="shared" si="5"/>
        <v>12</v>
      </c>
      <c r="H15" s="298"/>
      <c r="I15" s="37" t="s">
        <v>8</v>
      </c>
      <c r="J15" s="304"/>
      <c r="K15" s="303"/>
      <c r="L15" s="304" t="s">
        <v>9</v>
      </c>
      <c r="M15" s="164"/>
      <c r="N15" s="37" t="s">
        <v>8</v>
      </c>
      <c r="O15" s="33"/>
      <c r="P15" s="164"/>
      <c r="Q15" s="41" t="s">
        <v>9</v>
      </c>
      <c r="R15" s="303"/>
      <c r="S15" s="305" t="s">
        <v>8</v>
      </c>
      <c r="T15" s="164"/>
      <c r="U15" s="33"/>
      <c r="V15" s="164" t="s">
        <v>9</v>
      </c>
      <c r="W15" s="33"/>
      <c r="X15" s="37" t="s">
        <v>8</v>
      </c>
      <c r="Y15" s="174"/>
      <c r="Z15" s="303"/>
      <c r="AA15" s="41" t="s">
        <v>9</v>
      </c>
      <c r="AB15" s="303"/>
      <c r="AC15" s="37" t="s">
        <v>8</v>
      </c>
      <c r="AD15" s="37"/>
      <c r="AE15" s="33" t="s">
        <v>9</v>
      </c>
      <c r="AF15" s="304"/>
      <c r="AG15" s="323"/>
      <c r="AH15" s="37" t="s">
        <v>8</v>
      </c>
      <c r="AI15" s="201"/>
      <c r="AJ15" s="250"/>
      <c r="AK15" s="412" t="s">
        <v>9</v>
      </c>
      <c r="AL15" s="5">
        <f t="shared" si="4"/>
        <v>144</v>
      </c>
      <c r="AM15" s="235"/>
    </row>
    <row r="16" spans="1:39" ht="21" customHeight="1" x14ac:dyDescent="0.25">
      <c r="A16" s="83">
        <v>17831</v>
      </c>
      <c r="B16" s="83">
        <v>1040787</v>
      </c>
      <c r="C16" s="52" t="s">
        <v>23</v>
      </c>
      <c r="D16" s="25" t="s">
        <v>18</v>
      </c>
      <c r="E16" s="25" t="s">
        <v>37</v>
      </c>
      <c r="F16" s="23">
        <v>36</v>
      </c>
      <c r="G16" s="168">
        <f t="shared" si="5"/>
        <v>12</v>
      </c>
      <c r="H16" s="298" t="s">
        <v>9</v>
      </c>
      <c r="I16" s="37"/>
      <c r="J16" s="342" t="s">
        <v>8</v>
      </c>
      <c r="K16" s="303"/>
      <c r="L16" s="304"/>
      <c r="M16" s="33" t="s">
        <v>9</v>
      </c>
      <c r="N16" s="37"/>
      <c r="O16" s="442" t="s">
        <v>9</v>
      </c>
      <c r="P16" s="164"/>
      <c r="Q16" s="41"/>
      <c r="R16" s="303" t="s">
        <v>9</v>
      </c>
      <c r="S16" s="305"/>
      <c r="T16" s="413" t="s">
        <v>8</v>
      </c>
      <c r="U16" s="33"/>
      <c r="V16" s="164"/>
      <c r="W16" s="33" t="s">
        <v>9</v>
      </c>
      <c r="X16" s="37"/>
      <c r="Y16" s="414" t="s">
        <v>8</v>
      </c>
      <c r="Z16" s="303"/>
      <c r="AA16" s="41"/>
      <c r="AB16" s="303" t="s">
        <v>9</v>
      </c>
      <c r="AC16" s="37"/>
      <c r="AD16" s="37" t="s">
        <v>8</v>
      </c>
      <c r="AE16" s="33"/>
      <c r="AF16" s="304" t="s">
        <v>9</v>
      </c>
      <c r="AG16" s="323"/>
      <c r="AH16" s="37"/>
      <c r="AI16" s="201" t="s">
        <v>8</v>
      </c>
      <c r="AJ16" s="250"/>
      <c r="AK16" s="244"/>
      <c r="AL16" s="5">
        <f t="shared" si="4"/>
        <v>144</v>
      </c>
      <c r="AM16" s="235"/>
    </row>
    <row r="17" spans="1:39" ht="21" customHeight="1" x14ac:dyDescent="0.25">
      <c r="A17" s="85">
        <v>17867</v>
      </c>
      <c r="B17" s="85">
        <v>573710</v>
      </c>
      <c r="C17" s="52" t="s">
        <v>51</v>
      </c>
      <c r="D17" s="25" t="s">
        <v>18</v>
      </c>
      <c r="E17" s="25" t="s">
        <v>37</v>
      </c>
      <c r="F17" s="23">
        <v>36</v>
      </c>
      <c r="G17" s="192">
        <f t="shared" si="5"/>
        <v>12</v>
      </c>
      <c r="H17" s="298" t="s">
        <v>9</v>
      </c>
      <c r="I17" s="6"/>
      <c r="J17" s="342" t="s">
        <v>8</v>
      </c>
      <c r="K17" s="304"/>
      <c r="L17" s="305"/>
      <c r="M17" s="164" t="s">
        <v>9</v>
      </c>
      <c r="N17" s="33"/>
      <c r="O17" s="413" t="s">
        <v>8</v>
      </c>
      <c r="P17" s="164"/>
      <c r="Q17" s="41"/>
      <c r="R17" s="304" t="s">
        <v>9</v>
      </c>
      <c r="S17" s="303"/>
      <c r="T17" s="413" t="s">
        <v>8</v>
      </c>
      <c r="U17" s="164"/>
      <c r="V17" s="164"/>
      <c r="W17" s="164" t="s">
        <v>9</v>
      </c>
      <c r="X17" s="33"/>
      <c r="Y17" s="414" t="s">
        <v>8</v>
      </c>
      <c r="Z17" s="304"/>
      <c r="AA17" s="450" t="s">
        <v>9</v>
      </c>
      <c r="AB17" s="304"/>
      <c r="AC17" s="33"/>
      <c r="AD17" s="413" t="s">
        <v>8</v>
      </c>
      <c r="AE17" s="164"/>
      <c r="AF17" s="303" t="s">
        <v>9</v>
      </c>
      <c r="AG17" s="305"/>
      <c r="AH17" s="402" t="s">
        <v>8</v>
      </c>
      <c r="AI17" s="201"/>
      <c r="AJ17" s="199"/>
      <c r="AK17" s="244"/>
      <c r="AL17" s="5">
        <f t="shared" si="4"/>
        <v>144</v>
      </c>
      <c r="AM17" s="235"/>
    </row>
    <row r="18" spans="1:39" ht="21" customHeight="1" x14ac:dyDescent="0.25">
      <c r="A18" s="85"/>
      <c r="B18" s="85">
        <v>937898</v>
      </c>
      <c r="C18" s="415" t="s">
        <v>118</v>
      </c>
      <c r="D18" s="25" t="s">
        <v>18</v>
      </c>
      <c r="E18" s="25" t="s">
        <v>37</v>
      </c>
      <c r="F18" s="23">
        <v>36</v>
      </c>
      <c r="G18" s="192">
        <f t="shared" si="5"/>
        <v>12</v>
      </c>
      <c r="H18" s="416" t="s">
        <v>9</v>
      </c>
      <c r="I18" s="208"/>
      <c r="J18" s="366" t="s">
        <v>8</v>
      </c>
      <c r="K18" s="208"/>
      <c r="L18" s="395"/>
      <c r="M18" s="209" t="s">
        <v>9</v>
      </c>
      <c r="N18" s="366"/>
      <c r="O18" s="418" t="s">
        <v>8</v>
      </c>
      <c r="P18" s="366"/>
      <c r="Q18" s="366"/>
      <c r="R18" s="418" t="s">
        <v>8</v>
      </c>
      <c r="S18" s="208"/>
      <c r="T18" s="418" t="s">
        <v>8</v>
      </c>
      <c r="U18" s="208"/>
      <c r="V18" s="395"/>
      <c r="W18" s="395" t="s">
        <v>9</v>
      </c>
      <c r="X18" s="208"/>
      <c r="Y18" s="418" t="s">
        <v>8</v>
      </c>
      <c r="Z18" s="208"/>
      <c r="AA18" s="449" t="s">
        <v>9</v>
      </c>
      <c r="AB18" s="395"/>
      <c r="AC18" s="208"/>
      <c r="AD18" s="418" t="s">
        <v>8</v>
      </c>
      <c r="AE18" s="208"/>
      <c r="AF18" s="395"/>
      <c r="AG18" s="366"/>
      <c r="AH18" s="208" t="s">
        <v>9</v>
      </c>
      <c r="AI18" s="417"/>
      <c r="AJ18" s="417"/>
      <c r="AK18" s="375" t="s">
        <v>8</v>
      </c>
      <c r="AL18" s="5">
        <f t="shared" si="4"/>
        <v>144</v>
      </c>
      <c r="AM18" s="235"/>
    </row>
    <row r="19" spans="1:39" ht="21" customHeight="1" x14ac:dyDescent="0.25">
      <c r="A19" s="83">
        <v>17829</v>
      </c>
      <c r="B19" s="83">
        <v>1124059</v>
      </c>
      <c r="C19" s="340" t="s">
        <v>53</v>
      </c>
      <c r="D19" s="25" t="s">
        <v>18</v>
      </c>
      <c r="E19" s="25" t="s">
        <v>37</v>
      </c>
      <c r="F19" s="23">
        <v>36</v>
      </c>
      <c r="G19" s="192">
        <f t="shared" si="5"/>
        <v>12</v>
      </c>
      <c r="H19" s="419"/>
      <c r="I19" s="209"/>
      <c r="J19" s="208"/>
      <c r="K19" s="418" t="s">
        <v>8</v>
      </c>
      <c r="L19" s="391" t="s">
        <v>9</v>
      </c>
      <c r="M19" s="209"/>
      <c r="N19" s="208"/>
      <c r="O19" s="208"/>
      <c r="P19" s="418" t="s">
        <v>8</v>
      </c>
      <c r="Q19" s="420" t="s">
        <v>9</v>
      </c>
      <c r="R19" s="209"/>
      <c r="S19" s="209"/>
      <c r="T19" s="208"/>
      <c r="U19" s="418" t="s">
        <v>8</v>
      </c>
      <c r="V19" s="420" t="s">
        <v>9</v>
      </c>
      <c r="W19" s="208"/>
      <c r="X19" s="209"/>
      <c r="Y19" s="208"/>
      <c r="Z19" s="371" t="s">
        <v>8</v>
      </c>
      <c r="AA19" s="208" t="s">
        <v>9</v>
      </c>
      <c r="AB19" s="208"/>
      <c r="AC19" s="366"/>
      <c r="AD19" s="208"/>
      <c r="AE19" s="371" t="s">
        <v>8</v>
      </c>
      <c r="AF19" s="208" t="s">
        <v>9</v>
      </c>
      <c r="AG19" s="366"/>
      <c r="AH19" s="366"/>
      <c r="AI19" s="375"/>
      <c r="AJ19" s="375" t="s">
        <v>8</v>
      </c>
      <c r="AK19" s="421" t="s">
        <v>9</v>
      </c>
      <c r="AL19" s="5">
        <f t="shared" si="4"/>
        <v>144</v>
      </c>
      <c r="AM19" s="235"/>
    </row>
    <row r="20" spans="1:39" ht="21" customHeight="1" x14ac:dyDescent="0.25">
      <c r="A20" s="83">
        <v>1185</v>
      </c>
      <c r="B20" s="83">
        <v>397879</v>
      </c>
      <c r="C20" s="268" t="s">
        <v>55</v>
      </c>
      <c r="D20" s="25" t="s">
        <v>18</v>
      </c>
      <c r="E20" s="25" t="s">
        <v>37</v>
      </c>
      <c r="F20" s="23">
        <v>36</v>
      </c>
      <c r="G20" s="192">
        <f t="shared" si="5"/>
        <v>12</v>
      </c>
      <c r="H20" s="299" t="s">
        <v>8</v>
      </c>
      <c r="I20" s="41"/>
      <c r="J20" s="304"/>
      <c r="K20" s="303" t="s">
        <v>9</v>
      </c>
      <c r="L20" s="305"/>
      <c r="M20" s="402" t="s">
        <v>8</v>
      </c>
      <c r="N20" s="164"/>
      <c r="O20" s="164"/>
      <c r="P20" s="164" t="s">
        <v>9</v>
      </c>
      <c r="Q20" s="37"/>
      <c r="R20" s="407" t="s">
        <v>8</v>
      </c>
      <c r="S20" s="304"/>
      <c r="T20" s="164"/>
      <c r="U20" s="164" t="s">
        <v>9</v>
      </c>
      <c r="V20" s="37"/>
      <c r="W20" s="402" t="s">
        <v>8</v>
      </c>
      <c r="X20" s="164"/>
      <c r="Y20" s="174"/>
      <c r="Z20" s="304" t="s">
        <v>9</v>
      </c>
      <c r="AA20" s="41"/>
      <c r="AB20" s="407" t="s">
        <v>8</v>
      </c>
      <c r="AC20" s="37"/>
      <c r="AD20" s="37"/>
      <c r="AE20" s="164" t="s">
        <v>9</v>
      </c>
      <c r="AF20" s="304"/>
      <c r="AG20" s="305" t="s">
        <v>8</v>
      </c>
      <c r="AH20" s="37"/>
      <c r="AI20" s="201"/>
      <c r="AJ20" s="250" t="s">
        <v>9</v>
      </c>
      <c r="AK20" s="244"/>
      <c r="AL20" s="5">
        <f t="shared" si="4"/>
        <v>144</v>
      </c>
      <c r="AM20" s="235"/>
    </row>
    <row r="21" spans="1:39" ht="21" customHeight="1" x14ac:dyDescent="0.3">
      <c r="A21" s="86">
        <v>1182</v>
      </c>
      <c r="B21" s="86"/>
      <c r="C21" s="52" t="s">
        <v>56</v>
      </c>
      <c r="D21" s="25" t="s">
        <v>18</v>
      </c>
      <c r="E21" s="25" t="s">
        <v>37</v>
      </c>
      <c r="F21" s="23">
        <v>36</v>
      </c>
      <c r="G21" s="192">
        <f t="shared" si="5"/>
        <v>12</v>
      </c>
      <c r="H21" s="422" t="s">
        <v>8</v>
      </c>
      <c r="I21" s="41"/>
      <c r="J21" s="305"/>
      <c r="K21" s="303" t="s">
        <v>9</v>
      </c>
      <c r="L21" s="304"/>
      <c r="M21" s="402" t="s">
        <v>8</v>
      </c>
      <c r="N21" s="164"/>
      <c r="O21" s="37"/>
      <c r="P21" s="164" t="s">
        <v>9</v>
      </c>
      <c r="Q21" s="164"/>
      <c r="R21" s="407" t="s">
        <v>8</v>
      </c>
      <c r="S21" s="304"/>
      <c r="T21" s="37"/>
      <c r="U21" s="164" t="s">
        <v>9</v>
      </c>
      <c r="V21" s="164"/>
      <c r="W21" s="402" t="s">
        <v>8</v>
      </c>
      <c r="X21" s="164"/>
      <c r="Y21" s="166"/>
      <c r="Z21" s="304" t="s">
        <v>9</v>
      </c>
      <c r="AA21" s="164"/>
      <c r="AB21" s="423" t="s">
        <v>8</v>
      </c>
      <c r="AC21" s="164"/>
      <c r="AD21" s="285" t="s">
        <v>9</v>
      </c>
      <c r="AE21" s="164"/>
      <c r="AF21" s="304"/>
      <c r="AG21" s="407" t="s">
        <v>8</v>
      </c>
      <c r="AH21" s="164"/>
      <c r="AI21" s="201"/>
      <c r="AJ21" s="200" t="s">
        <v>9</v>
      </c>
      <c r="AK21" s="243"/>
      <c r="AL21" s="5">
        <f t="shared" si="4"/>
        <v>144</v>
      </c>
      <c r="AM21" s="235"/>
    </row>
    <row r="22" spans="1:39" ht="21" customHeight="1" x14ac:dyDescent="0.3">
      <c r="A22" s="86">
        <v>11100</v>
      </c>
      <c r="B22" s="86">
        <v>932790</v>
      </c>
      <c r="C22" s="52" t="s">
        <v>57</v>
      </c>
      <c r="D22" s="25" t="s">
        <v>18</v>
      </c>
      <c r="E22" s="25" t="s">
        <v>37</v>
      </c>
      <c r="F22" s="23">
        <v>36</v>
      </c>
      <c r="G22" s="192">
        <f t="shared" si="5"/>
        <v>12</v>
      </c>
      <c r="H22" s="422" t="s">
        <v>8</v>
      </c>
      <c r="I22" s="41"/>
      <c r="J22" s="305"/>
      <c r="K22" s="304" t="s">
        <v>9</v>
      </c>
      <c r="L22" s="303"/>
      <c r="M22" s="402" t="s">
        <v>8</v>
      </c>
      <c r="N22" s="33"/>
      <c r="O22" s="37"/>
      <c r="P22" s="164" t="s">
        <v>9</v>
      </c>
      <c r="Q22" s="33"/>
      <c r="R22" s="407" t="s">
        <v>8</v>
      </c>
      <c r="S22" s="303"/>
      <c r="T22" s="37"/>
      <c r="U22" s="33" t="s">
        <v>9</v>
      </c>
      <c r="V22" s="164"/>
      <c r="W22" s="402" t="s">
        <v>8</v>
      </c>
      <c r="X22" s="164"/>
      <c r="Y22" s="166"/>
      <c r="Z22" s="425" t="s">
        <v>9</v>
      </c>
      <c r="AA22" s="164"/>
      <c r="AB22" s="426" t="s">
        <v>8</v>
      </c>
      <c r="AC22" s="164"/>
      <c r="AD22" s="285" t="s">
        <v>9</v>
      </c>
      <c r="AE22" s="164"/>
      <c r="AF22" s="304"/>
      <c r="AG22" s="342" t="s">
        <v>8</v>
      </c>
      <c r="AH22" s="33"/>
      <c r="AI22" s="456" t="s">
        <v>8</v>
      </c>
      <c r="AJ22" s="427"/>
      <c r="AK22" s="240"/>
      <c r="AL22" s="5">
        <f t="shared" si="4"/>
        <v>144</v>
      </c>
      <c r="AM22" s="235"/>
    </row>
    <row r="23" spans="1:39" ht="21" customHeight="1" x14ac:dyDescent="0.3">
      <c r="A23" s="86">
        <v>12840</v>
      </c>
      <c r="B23" s="86">
        <v>1802444</v>
      </c>
      <c r="C23" s="109" t="s">
        <v>38</v>
      </c>
      <c r="D23" s="3" t="s">
        <v>39</v>
      </c>
      <c r="E23" s="25" t="s">
        <v>37</v>
      </c>
      <c r="F23" s="3">
        <v>36</v>
      </c>
      <c r="G23" s="192">
        <f t="shared" si="5"/>
        <v>12</v>
      </c>
      <c r="H23" s="424" t="s">
        <v>9</v>
      </c>
      <c r="I23" s="29"/>
      <c r="J23" s="305" t="s">
        <v>8</v>
      </c>
      <c r="K23" s="307"/>
      <c r="L23" s="308"/>
      <c r="M23" s="164" t="s">
        <v>9</v>
      </c>
      <c r="N23" s="29"/>
      <c r="O23" s="37" t="s">
        <v>8</v>
      </c>
      <c r="P23" s="51"/>
      <c r="Q23" s="51"/>
      <c r="R23" s="407" t="s">
        <v>8</v>
      </c>
      <c r="S23" s="309"/>
      <c r="T23" s="37"/>
      <c r="U23" s="29" t="s">
        <v>9</v>
      </c>
      <c r="V23" s="29"/>
      <c r="W23" s="402" t="s">
        <v>8</v>
      </c>
      <c r="X23" s="29"/>
      <c r="Y23" s="166"/>
      <c r="Z23" s="308" t="s">
        <v>9</v>
      </c>
      <c r="AA23" s="29"/>
      <c r="AB23" s="429" t="s">
        <v>8</v>
      </c>
      <c r="AC23" s="29"/>
      <c r="AD23" s="37"/>
      <c r="AE23" s="29" t="s">
        <v>9</v>
      </c>
      <c r="AF23" s="304"/>
      <c r="AG23" s="342" t="s">
        <v>8</v>
      </c>
      <c r="AH23" s="29"/>
      <c r="AI23" s="201" t="s">
        <v>8</v>
      </c>
      <c r="AJ23" s="199"/>
      <c r="AK23" s="244"/>
      <c r="AL23" s="5">
        <f t="shared" si="4"/>
        <v>144</v>
      </c>
      <c r="AM23" s="235"/>
    </row>
    <row r="24" spans="1:39" ht="21" customHeight="1" x14ac:dyDescent="0.3">
      <c r="A24" s="86">
        <v>12839</v>
      </c>
      <c r="B24" s="86">
        <v>536537</v>
      </c>
      <c r="C24" s="109" t="s">
        <v>72</v>
      </c>
      <c r="D24" s="3" t="s">
        <v>39</v>
      </c>
      <c r="E24" s="25" t="s">
        <v>37</v>
      </c>
      <c r="F24" s="3">
        <v>36</v>
      </c>
      <c r="G24" s="192">
        <f t="shared" si="5"/>
        <v>12</v>
      </c>
      <c r="H24" s="300"/>
      <c r="I24" s="51" t="s">
        <v>8</v>
      </c>
      <c r="J24" s="305"/>
      <c r="K24" s="307"/>
      <c r="L24" s="431" t="s">
        <v>9</v>
      </c>
      <c r="M24" s="164"/>
      <c r="N24" s="432" t="s">
        <v>8</v>
      </c>
      <c r="O24" s="37"/>
      <c r="P24" s="29"/>
      <c r="Q24" s="433" t="s">
        <v>9</v>
      </c>
      <c r="R24" s="304"/>
      <c r="S24" s="434" t="s">
        <v>8</v>
      </c>
      <c r="T24" s="37"/>
      <c r="U24" s="29"/>
      <c r="V24" s="433" t="s">
        <v>9</v>
      </c>
      <c r="W24" s="164"/>
      <c r="X24" s="432" t="s">
        <v>8</v>
      </c>
      <c r="Y24" s="166"/>
      <c r="Z24" s="309"/>
      <c r="AA24" s="433" t="s">
        <v>9</v>
      </c>
      <c r="AB24" s="326"/>
      <c r="AC24" s="432" t="s">
        <v>8</v>
      </c>
      <c r="AD24" s="37"/>
      <c r="AE24" s="51"/>
      <c r="AF24" s="407" t="s">
        <v>8</v>
      </c>
      <c r="AG24" s="304"/>
      <c r="AH24" s="29"/>
      <c r="AI24" s="250" t="s">
        <v>9</v>
      </c>
      <c r="AJ24" s="201"/>
      <c r="AK24" s="409" t="s">
        <v>8</v>
      </c>
      <c r="AL24" s="125">
        <f t="shared" si="4"/>
        <v>144</v>
      </c>
      <c r="AM24" s="235"/>
    </row>
    <row r="25" spans="1:39" ht="21" customHeight="1" x14ac:dyDescent="0.3">
      <c r="A25" s="26">
        <v>6991</v>
      </c>
      <c r="B25" s="26">
        <v>353269</v>
      </c>
      <c r="C25" s="385" t="s">
        <v>84</v>
      </c>
      <c r="D25" s="3" t="s">
        <v>39</v>
      </c>
      <c r="E25" s="25" t="s">
        <v>37</v>
      </c>
      <c r="F25" s="3">
        <v>36</v>
      </c>
      <c r="G25" s="192">
        <f t="shared" si="5"/>
        <v>12</v>
      </c>
      <c r="H25" s="376" t="s">
        <v>9</v>
      </c>
      <c r="I25" s="377"/>
      <c r="J25" s="377" t="s">
        <v>8</v>
      </c>
      <c r="K25" s="378"/>
      <c r="L25" s="378"/>
      <c r="M25" s="379" t="s">
        <v>9</v>
      </c>
      <c r="N25" s="377"/>
      <c r="O25" s="380" t="s">
        <v>8</v>
      </c>
      <c r="P25" s="378"/>
      <c r="Q25" s="378"/>
      <c r="R25" s="379" t="s">
        <v>9</v>
      </c>
      <c r="S25" s="377"/>
      <c r="T25" s="381" t="s">
        <v>8</v>
      </c>
      <c r="U25" s="382"/>
      <c r="V25" s="378"/>
      <c r="W25" s="378" t="s">
        <v>9</v>
      </c>
      <c r="X25" s="377"/>
      <c r="Y25" s="366" t="s">
        <v>8</v>
      </c>
      <c r="Z25" s="378"/>
      <c r="AA25" s="378"/>
      <c r="AB25" s="383" t="s">
        <v>9</v>
      </c>
      <c r="AC25" s="377"/>
      <c r="AD25" s="366" t="s">
        <v>8</v>
      </c>
      <c r="AE25" s="378"/>
      <c r="AF25" s="378"/>
      <c r="AG25" s="378" t="s">
        <v>9</v>
      </c>
      <c r="AH25" s="377"/>
      <c r="AI25" s="384"/>
      <c r="AJ25" s="384" t="s">
        <v>8</v>
      </c>
      <c r="AK25" s="384"/>
      <c r="AL25" s="125">
        <f t="shared" si="4"/>
        <v>144</v>
      </c>
      <c r="AM25" s="235"/>
    </row>
    <row r="26" spans="1:39" ht="21" customHeight="1" x14ac:dyDescent="0.3">
      <c r="A26" s="148">
        <v>12875</v>
      </c>
      <c r="B26" s="148"/>
      <c r="C26" s="343" t="s">
        <v>90</v>
      </c>
      <c r="D26" s="3" t="s">
        <v>39</v>
      </c>
      <c r="E26" s="25" t="s">
        <v>37</v>
      </c>
      <c r="F26" s="3">
        <v>36</v>
      </c>
      <c r="G26" s="192">
        <f t="shared" si="5"/>
        <v>12</v>
      </c>
      <c r="H26" s="386"/>
      <c r="I26" s="365"/>
      <c r="J26" s="387" t="s">
        <v>9</v>
      </c>
      <c r="K26" s="208"/>
      <c r="L26" s="388" t="s">
        <v>8</v>
      </c>
      <c r="M26" s="377"/>
      <c r="N26" s="365"/>
      <c r="O26" s="365" t="s">
        <v>9</v>
      </c>
      <c r="P26" s="389"/>
      <c r="Q26" s="390" t="s">
        <v>8</v>
      </c>
      <c r="R26" s="391" t="s">
        <v>9</v>
      </c>
      <c r="S26" s="365"/>
      <c r="T26" s="365"/>
      <c r="U26" s="392"/>
      <c r="V26" s="393" t="s">
        <v>9</v>
      </c>
      <c r="W26" s="390"/>
      <c r="X26" s="394" t="s">
        <v>8</v>
      </c>
      <c r="Y26" s="365" t="s">
        <v>9</v>
      </c>
      <c r="Z26" s="208"/>
      <c r="AA26" s="390"/>
      <c r="AB26" s="366"/>
      <c r="AC26" s="388" t="s">
        <v>8</v>
      </c>
      <c r="AD26" s="365"/>
      <c r="AE26" s="208"/>
      <c r="AF26" s="390" t="s">
        <v>8</v>
      </c>
      <c r="AG26" s="395" t="s">
        <v>9</v>
      </c>
      <c r="AH26" s="365"/>
      <c r="AI26" s="396"/>
      <c r="AJ26" s="375" t="s">
        <v>8</v>
      </c>
      <c r="AK26" s="396"/>
      <c r="AL26" s="125">
        <f t="shared" si="4"/>
        <v>144</v>
      </c>
      <c r="AM26" s="235"/>
    </row>
    <row r="27" spans="1:39" ht="21" customHeight="1" x14ac:dyDescent="0.3">
      <c r="A27" s="148">
        <v>1139</v>
      </c>
      <c r="B27" s="148"/>
      <c r="C27" s="117" t="s">
        <v>93</v>
      </c>
      <c r="D27" s="3" t="s">
        <v>39</v>
      </c>
      <c r="E27" s="25" t="s">
        <v>37</v>
      </c>
      <c r="F27" s="3">
        <v>36</v>
      </c>
      <c r="G27" s="192">
        <f t="shared" si="5"/>
        <v>12</v>
      </c>
      <c r="H27" s="301"/>
      <c r="I27" s="428" t="s">
        <v>8</v>
      </c>
      <c r="J27" s="310"/>
      <c r="K27" s="304"/>
      <c r="L27" s="310" t="s">
        <v>9</v>
      </c>
      <c r="M27" s="193"/>
      <c r="N27" s="428" t="s">
        <v>8</v>
      </c>
      <c r="O27" s="313"/>
      <c r="P27" s="193"/>
      <c r="Q27" s="48" t="s">
        <v>9</v>
      </c>
      <c r="R27" s="305"/>
      <c r="S27" s="436" t="s">
        <v>8</v>
      </c>
      <c r="T27" s="48"/>
      <c r="U27" s="317"/>
      <c r="V27" s="318" t="s">
        <v>9</v>
      </c>
      <c r="W27" s="182"/>
      <c r="X27" s="48" t="s">
        <v>9</v>
      </c>
      <c r="Y27" s="181"/>
      <c r="Z27" s="434" t="s">
        <v>8</v>
      </c>
      <c r="AA27" s="182"/>
      <c r="AB27" s="305"/>
      <c r="AC27" s="48" t="s">
        <v>9</v>
      </c>
      <c r="AD27" s="48"/>
      <c r="AE27" s="402" t="s">
        <v>8</v>
      </c>
      <c r="AF27" s="324"/>
      <c r="AG27" s="305"/>
      <c r="AH27" s="48" t="s">
        <v>9</v>
      </c>
      <c r="AI27" s="198"/>
      <c r="AJ27" s="440" t="s">
        <v>8</v>
      </c>
      <c r="AK27" s="246"/>
      <c r="AL27" s="125">
        <f t="shared" si="4"/>
        <v>144</v>
      </c>
      <c r="AM27" s="235"/>
    </row>
    <row r="28" spans="1:39" ht="21" customHeight="1" x14ac:dyDescent="0.3">
      <c r="A28" s="176">
        <v>12793</v>
      </c>
      <c r="B28" s="257">
        <v>942270</v>
      </c>
      <c r="C28" s="190" t="s">
        <v>97</v>
      </c>
      <c r="D28" s="3" t="s">
        <v>39</v>
      </c>
      <c r="E28" s="25" t="s">
        <v>37</v>
      </c>
      <c r="F28" s="3">
        <v>36</v>
      </c>
      <c r="G28" s="192">
        <f t="shared" si="5"/>
        <v>12</v>
      </c>
      <c r="H28" s="33"/>
      <c r="I28" s="435" t="s">
        <v>8</v>
      </c>
      <c r="J28" s="303"/>
      <c r="K28" s="305"/>
      <c r="L28" s="303" t="s">
        <v>9</v>
      </c>
      <c r="M28" s="33"/>
      <c r="N28" s="402" t="s">
        <v>8</v>
      </c>
      <c r="O28" s="182"/>
      <c r="P28" s="37"/>
      <c r="Q28" s="186" t="s">
        <v>9</v>
      </c>
      <c r="R28" s="310"/>
      <c r="S28" s="437" t="s">
        <v>8</v>
      </c>
      <c r="T28" s="48"/>
      <c r="U28" s="319"/>
      <c r="V28" s="428" t="s">
        <v>8</v>
      </c>
      <c r="W28" s="48"/>
      <c r="X28" s="438" t="s">
        <v>9</v>
      </c>
      <c r="Y28" s="169"/>
      <c r="Z28" s="434" t="s">
        <v>8</v>
      </c>
      <c r="AA28" s="48"/>
      <c r="AB28" s="451" t="s">
        <v>9</v>
      </c>
      <c r="AC28" s="322"/>
      <c r="AD28" s="48"/>
      <c r="AE28" s="402" t="s">
        <v>8</v>
      </c>
      <c r="AF28" s="324"/>
      <c r="AG28" s="305"/>
      <c r="AH28" s="48" t="s">
        <v>9</v>
      </c>
      <c r="AI28" s="198"/>
      <c r="AJ28" s="441" t="s">
        <v>8</v>
      </c>
      <c r="AK28" s="247"/>
      <c r="AL28" s="177">
        <f t="shared" si="4"/>
        <v>144</v>
      </c>
      <c r="AM28" s="235"/>
    </row>
    <row r="29" spans="1:39" ht="21" customHeight="1" x14ac:dyDescent="0.3">
      <c r="A29" s="176"/>
      <c r="B29" s="257"/>
      <c r="C29" s="260" t="s">
        <v>106</v>
      </c>
      <c r="D29" s="3" t="s">
        <v>39</v>
      </c>
      <c r="E29" s="25" t="s">
        <v>37</v>
      </c>
      <c r="F29" s="3">
        <v>36</v>
      </c>
      <c r="G29" s="192">
        <v>12</v>
      </c>
      <c r="H29" s="300"/>
      <c r="I29" s="33" t="s">
        <v>9</v>
      </c>
      <c r="J29" s="303"/>
      <c r="K29" s="407" t="s">
        <v>8</v>
      </c>
      <c r="L29" s="303"/>
      <c r="M29" s="248"/>
      <c r="N29" s="164" t="s">
        <v>9</v>
      </c>
      <c r="O29" s="300" t="s">
        <v>9</v>
      </c>
      <c r="P29" s="37"/>
      <c r="Q29" s="37" t="s">
        <v>8</v>
      </c>
      <c r="R29" s="310"/>
      <c r="S29" s="315"/>
      <c r="T29" s="285" t="s">
        <v>9</v>
      </c>
      <c r="U29" s="318"/>
      <c r="V29" s="428" t="s">
        <v>8</v>
      </c>
      <c r="W29" s="29"/>
      <c r="X29" s="182"/>
      <c r="Y29" s="169" t="s">
        <v>9</v>
      </c>
      <c r="Z29" s="309"/>
      <c r="AA29" s="447" t="s">
        <v>8</v>
      </c>
      <c r="AB29" s="315"/>
      <c r="AC29" s="322"/>
      <c r="AD29" s="164" t="s">
        <v>9</v>
      </c>
      <c r="AE29" s="164"/>
      <c r="AF29" s="342" t="s">
        <v>8</v>
      </c>
      <c r="AG29" s="324"/>
      <c r="AH29" s="454"/>
      <c r="AI29" s="174"/>
      <c r="AJ29" s="266" t="s">
        <v>9</v>
      </c>
      <c r="AK29" s="247"/>
      <c r="AL29" s="177">
        <v>144</v>
      </c>
      <c r="AM29" s="235"/>
    </row>
    <row r="30" spans="1:39" ht="21" customHeight="1" x14ac:dyDescent="0.3">
      <c r="A30" s="176"/>
      <c r="B30" s="257"/>
      <c r="C30" s="260" t="s">
        <v>132</v>
      </c>
      <c r="D30" s="3" t="s">
        <v>39</v>
      </c>
      <c r="E30" s="25" t="s">
        <v>37</v>
      </c>
      <c r="F30" s="3">
        <v>36</v>
      </c>
      <c r="G30" s="192">
        <v>12</v>
      </c>
      <c r="H30" s="476"/>
      <c r="I30" s="33" t="s">
        <v>9</v>
      </c>
      <c r="J30" s="303"/>
      <c r="K30" s="407" t="s">
        <v>8</v>
      </c>
      <c r="L30" s="303"/>
      <c r="M30" s="248"/>
      <c r="N30" s="164" t="s">
        <v>9</v>
      </c>
      <c r="O30" s="476"/>
      <c r="P30" s="37"/>
      <c r="Q30" s="477" t="s">
        <v>8</v>
      </c>
      <c r="R30" s="310"/>
      <c r="S30" s="315"/>
      <c r="T30" s="285" t="s">
        <v>9</v>
      </c>
      <c r="U30" s="318"/>
      <c r="V30" s="428" t="s">
        <v>8</v>
      </c>
      <c r="W30" s="223"/>
      <c r="X30" s="182"/>
      <c r="Y30" s="478" t="s">
        <v>9</v>
      </c>
      <c r="Z30" s="309"/>
      <c r="AA30" s="447"/>
      <c r="AB30" s="480" t="s">
        <v>8</v>
      </c>
      <c r="AC30" s="322"/>
      <c r="AD30" s="164"/>
      <c r="AE30" s="164" t="s">
        <v>9</v>
      </c>
      <c r="AF30" s="342"/>
      <c r="AG30" s="324" t="s">
        <v>8</v>
      </c>
      <c r="AH30" s="454"/>
      <c r="AI30" s="479" t="s">
        <v>9</v>
      </c>
      <c r="AJ30" s="266"/>
      <c r="AK30" s="481" t="s">
        <v>8</v>
      </c>
      <c r="AL30" s="177">
        <v>144</v>
      </c>
      <c r="AM30" s="235"/>
    </row>
    <row r="31" spans="1:39" ht="21" customHeight="1" x14ac:dyDescent="0.3">
      <c r="A31" s="176"/>
      <c r="B31" s="257"/>
      <c r="C31" s="260" t="s">
        <v>107</v>
      </c>
      <c r="D31" s="3" t="s">
        <v>39</v>
      </c>
      <c r="E31" s="25" t="s">
        <v>37</v>
      </c>
      <c r="F31" s="3">
        <v>36</v>
      </c>
      <c r="G31" s="192">
        <v>12</v>
      </c>
      <c r="H31" s="33"/>
      <c r="I31" s="33" t="s">
        <v>9</v>
      </c>
      <c r="J31" s="303" t="s">
        <v>9</v>
      </c>
      <c r="K31" s="305"/>
      <c r="L31" s="407" t="s">
        <v>8</v>
      </c>
      <c r="M31" s="33"/>
      <c r="N31" s="402"/>
      <c r="O31" s="48" t="s">
        <v>9</v>
      </c>
      <c r="P31" s="37"/>
      <c r="Q31" s="220"/>
      <c r="R31" s="310"/>
      <c r="S31" s="444" t="s">
        <v>8</v>
      </c>
      <c r="T31" s="37"/>
      <c r="U31" s="164"/>
      <c r="V31" s="164"/>
      <c r="W31" s="186" t="s">
        <v>9</v>
      </c>
      <c r="X31" s="318"/>
      <c r="Y31" s="446" t="s">
        <v>8</v>
      </c>
      <c r="Z31" s="309"/>
      <c r="AA31" s="48" t="s">
        <v>9</v>
      </c>
      <c r="AB31" s="315"/>
      <c r="AC31" s="322" t="s">
        <v>9</v>
      </c>
      <c r="AD31" s="164"/>
      <c r="AE31" s="164"/>
      <c r="AF31" s="342" t="s">
        <v>8</v>
      </c>
      <c r="AG31" s="324"/>
      <c r="AH31" s="454" t="s">
        <v>8</v>
      </c>
      <c r="AI31" s="266"/>
      <c r="AJ31" s="266" t="s">
        <v>9</v>
      </c>
      <c r="AK31" s="247"/>
      <c r="AL31" s="177">
        <v>144</v>
      </c>
      <c r="AM31" s="235"/>
    </row>
    <row r="32" spans="1:39" ht="21" customHeight="1" x14ac:dyDescent="0.3">
      <c r="A32" s="176"/>
      <c r="B32" s="257"/>
      <c r="C32" s="260" t="s">
        <v>124</v>
      </c>
      <c r="D32" s="3" t="s">
        <v>39</v>
      </c>
      <c r="E32" s="25" t="s">
        <v>37</v>
      </c>
      <c r="F32" s="3">
        <v>36</v>
      </c>
      <c r="G32" s="192">
        <v>12</v>
      </c>
      <c r="H32" s="33"/>
      <c r="I32" s="228"/>
      <c r="J32" s="303" t="s">
        <v>9</v>
      </c>
      <c r="K32" s="306"/>
      <c r="L32" s="407" t="s">
        <v>8</v>
      </c>
      <c r="M32" s="33"/>
      <c r="N32" s="402" t="s">
        <v>8</v>
      </c>
      <c r="O32" s="33"/>
      <c r="P32" s="285" t="s">
        <v>9</v>
      </c>
      <c r="Q32" s="37"/>
      <c r="R32" s="311"/>
      <c r="S32" s="444" t="s">
        <v>8</v>
      </c>
      <c r="T32" s="220"/>
      <c r="U32" s="164"/>
      <c r="V32" s="320"/>
      <c r="W32" s="37" t="s">
        <v>8</v>
      </c>
      <c r="X32" s="318"/>
      <c r="Y32" s="222"/>
      <c r="Z32" s="305"/>
      <c r="AA32" s="37" t="s">
        <v>8</v>
      </c>
      <c r="AB32" s="327"/>
      <c r="AC32" s="317"/>
      <c r="AD32" s="220" t="s">
        <v>9</v>
      </c>
      <c r="AE32" s="164" t="s">
        <v>9</v>
      </c>
      <c r="AF32" s="304"/>
      <c r="AG32" s="325" t="s">
        <v>9</v>
      </c>
      <c r="AH32" s="186"/>
      <c r="AI32" s="455" t="s">
        <v>8</v>
      </c>
      <c r="AJ32" s="266"/>
      <c r="AK32" s="457" t="s">
        <v>8</v>
      </c>
      <c r="AL32" s="177">
        <v>144</v>
      </c>
      <c r="AM32" s="235"/>
    </row>
    <row r="33" spans="1:39" ht="21" customHeight="1" x14ac:dyDescent="0.3">
      <c r="A33" s="28">
        <v>1142</v>
      </c>
      <c r="B33" s="28">
        <v>1817180</v>
      </c>
      <c r="C33" s="191" t="s">
        <v>98</v>
      </c>
      <c r="D33" s="3" t="s">
        <v>39</v>
      </c>
      <c r="E33" s="25" t="s">
        <v>37</v>
      </c>
      <c r="F33" s="3">
        <v>36</v>
      </c>
      <c r="G33" s="192">
        <f>SUMPRODUCT((H33:AK33="SD")+(H33:AK33="SN")+(H33:AK33="MT")+(H33:AK33="8H")+(H33:AK33="N")+(H33:AK33="M")+(H33:AK33="T")+(H33:AK33="AE")+(H33:AK33="AB")+(H33:AK33="AA")+(H33:AK33="FC"))</f>
        <v>12</v>
      </c>
      <c r="H33" s="302"/>
      <c r="I33" s="185"/>
      <c r="J33" s="312" t="s">
        <v>9</v>
      </c>
      <c r="K33" s="305"/>
      <c r="L33" s="312"/>
      <c r="M33" s="249"/>
      <c r="N33" s="402" t="s">
        <v>8</v>
      </c>
      <c r="O33" s="314"/>
      <c r="P33" s="37"/>
      <c r="Q33" s="443" t="s">
        <v>8</v>
      </c>
      <c r="R33" s="312"/>
      <c r="S33" s="316" t="s">
        <v>9</v>
      </c>
      <c r="T33" s="188" t="s">
        <v>9</v>
      </c>
      <c r="U33" s="321"/>
      <c r="V33" s="445" t="s">
        <v>8</v>
      </c>
      <c r="W33" s="188"/>
      <c r="X33" s="317"/>
      <c r="Y33" s="189" t="s">
        <v>9</v>
      </c>
      <c r="Z33" s="305"/>
      <c r="AA33" s="448" t="s">
        <v>8</v>
      </c>
      <c r="AB33" s="312"/>
      <c r="AC33" s="452" t="s">
        <v>8</v>
      </c>
      <c r="AD33" s="188"/>
      <c r="AE33" s="285" t="s">
        <v>9</v>
      </c>
      <c r="AF33" s="312"/>
      <c r="AG33" s="453" t="s">
        <v>8</v>
      </c>
      <c r="AH33" s="164"/>
      <c r="AI33" s="266" t="s">
        <v>9</v>
      </c>
      <c r="AJ33" s="266"/>
      <c r="AK33" s="164"/>
      <c r="AL33" s="177">
        <f>SUMPRODUCT((H33:AK33="SD")*12 + (H33:AK33="SN")*12 + (H33:AK33="MT")*8 + (H33:AK33="M")*6 + (H33:AK33="T")*6)</f>
        <v>144</v>
      </c>
      <c r="AM33" s="235"/>
    </row>
    <row r="34" spans="1:39" ht="68.25" customHeight="1" x14ac:dyDescent="0.25">
      <c r="A34" s="598" t="s">
        <v>1</v>
      </c>
      <c r="B34" s="554"/>
      <c r="C34" s="554"/>
      <c r="D34" s="554"/>
      <c r="E34" s="554"/>
      <c r="F34" s="554"/>
      <c r="G34" s="554"/>
      <c r="H34" s="554"/>
      <c r="I34" s="554"/>
      <c r="J34" s="554"/>
      <c r="K34" s="554"/>
      <c r="L34" s="554"/>
      <c r="M34" s="554"/>
      <c r="N34" s="555"/>
      <c r="O34" s="591" t="s">
        <v>60</v>
      </c>
      <c r="P34" s="592"/>
      <c r="Q34" s="592"/>
      <c r="R34" s="592"/>
      <c r="S34" s="592"/>
      <c r="T34" s="592"/>
      <c r="U34" s="592"/>
      <c r="V34" s="592"/>
      <c r="W34" s="592"/>
      <c r="X34" s="592"/>
      <c r="Y34" s="593"/>
      <c r="Z34" s="178" t="s">
        <v>61</v>
      </c>
      <c r="AA34" s="592" t="s">
        <v>62</v>
      </c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179"/>
    </row>
    <row r="35" spans="1:39" ht="39.75" customHeight="1" x14ac:dyDescent="0.25">
      <c r="C35" s="588" t="s">
        <v>0</v>
      </c>
      <c r="H35" s="590"/>
      <c r="I35" s="590"/>
      <c r="J35" s="590"/>
      <c r="K35" s="590"/>
      <c r="L35" s="590"/>
      <c r="M35" s="590"/>
      <c r="N35" s="590"/>
      <c r="O35" s="590"/>
      <c r="P35" s="590"/>
      <c r="Q35" s="590"/>
      <c r="R35" s="590"/>
      <c r="S35" s="590"/>
      <c r="T35" s="590"/>
      <c r="U35" s="590"/>
      <c r="V35" s="590"/>
      <c r="W35" s="590"/>
      <c r="X35" s="590"/>
      <c r="Y35" s="590"/>
      <c r="Z35" s="590"/>
      <c r="AA35" s="590"/>
      <c r="AB35" s="590"/>
      <c r="AC35" s="590"/>
      <c r="AD35" s="590"/>
      <c r="AE35" s="590"/>
      <c r="AF35" s="590"/>
      <c r="AG35" s="590"/>
      <c r="AH35" s="590"/>
      <c r="AI35" s="590"/>
      <c r="AJ35" s="590"/>
      <c r="AK35" s="590"/>
    </row>
    <row r="36" spans="1:39" x14ac:dyDescent="0.25">
      <c r="C36" s="589"/>
    </row>
    <row r="37" spans="1:39" ht="24" customHeight="1" x14ac:dyDescent="0.25">
      <c r="C37" s="554"/>
    </row>
  </sheetData>
  <mergeCells count="10">
    <mergeCell ref="A34:N34"/>
    <mergeCell ref="O34:Y34"/>
    <mergeCell ref="AA34:AK34"/>
    <mergeCell ref="C35:C37"/>
    <mergeCell ref="H35:AK35"/>
    <mergeCell ref="A1:C1"/>
    <mergeCell ref="D1:AH1"/>
    <mergeCell ref="A2:A3"/>
    <mergeCell ref="C2:F3"/>
    <mergeCell ref="H2:AL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7FA4-B1C0-4767-879D-FF03F81848E7}">
  <dimension ref="A1:AP64"/>
  <sheetViews>
    <sheetView tabSelected="1" zoomScale="75" zoomScaleNormal="75" workbookViewId="0">
      <selection activeCell="X63" sqref="X63"/>
    </sheetView>
  </sheetViews>
  <sheetFormatPr defaultRowHeight="13.2" x14ac:dyDescent="0.25"/>
  <cols>
    <col min="1" max="1" width="8.21875" customWidth="1"/>
    <col min="2" max="2" width="9.77734375" style="488" customWidth="1"/>
    <col min="3" max="3" width="20.44140625" style="489" customWidth="1"/>
    <col min="4" max="4" width="10.21875" style="79" customWidth="1"/>
    <col min="5" max="5" width="7.109375" style="505" customWidth="1"/>
    <col min="6" max="6" width="6" bestFit="1" customWidth="1"/>
    <col min="7" max="7" width="4.44140625" customWidth="1"/>
    <col min="8" max="38" width="4.6640625" customWidth="1"/>
  </cols>
  <sheetData>
    <row r="1" spans="1:42" ht="47.25" customHeight="1" x14ac:dyDescent="0.25">
      <c r="A1" s="67"/>
      <c r="B1" s="519"/>
      <c r="C1" s="491"/>
      <c r="D1" s="583" t="s">
        <v>69</v>
      </c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5"/>
      <c r="AI1" s="229"/>
      <c r="AJ1" s="229"/>
      <c r="AK1" s="229"/>
      <c r="AL1" s="229"/>
      <c r="AM1" s="286"/>
    </row>
    <row r="2" spans="1:42" ht="12" customHeight="1" x14ac:dyDescent="0.2">
      <c r="A2" s="603" t="s">
        <v>12</v>
      </c>
      <c r="B2" s="252"/>
      <c r="C2" s="605" t="s">
        <v>13</v>
      </c>
      <c r="D2" s="606"/>
      <c r="E2" s="606"/>
      <c r="F2" s="607"/>
      <c r="G2" s="68"/>
      <c r="H2" s="573"/>
      <c r="I2" s="574"/>
      <c r="J2" s="574"/>
      <c r="K2" s="575"/>
      <c r="L2" s="573"/>
      <c r="M2" s="574"/>
      <c r="N2" s="574"/>
      <c r="O2" s="574"/>
      <c r="P2" s="575"/>
      <c r="Q2" s="611" t="s">
        <v>100</v>
      </c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2"/>
      <c r="AD2" s="612"/>
      <c r="AE2" s="612"/>
      <c r="AF2" s="612"/>
      <c r="AG2" s="612"/>
      <c r="AH2" s="612"/>
      <c r="AI2" s="612"/>
      <c r="AJ2" s="612"/>
      <c r="AK2" s="612"/>
      <c r="AL2" s="612"/>
      <c r="AM2" s="73" t="s">
        <v>139</v>
      </c>
    </row>
    <row r="3" spans="1:42" ht="0.75" customHeight="1" x14ac:dyDescent="0.2">
      <c r="A3" s="604"/>
      <c r="B3" s="253"/>
      <c r="C3" s="608"/>
      <c r="D3" s="609"/>
      <c r="E3" s="609"/>
      <c r="F3" s="610"/>
      <c r="G3" s="68"/>
      <c r="H3" s="81" t="str">
        <f t="shared" ref="H3:AH3" si="0">UPPER(TEXT(H5,"DDD"))</f>
        <v>SEX</v>
      </c>
      <c r="I3" s="81" t="str">
        <f t="shared" si="0"/>
        <v>SÁB</v>
      </c>
      <c r="J3" s="81" t="str">
        <f t="shared" si="0"/>
        <v>DOM</v>
      </c>
      <c r="K3" s="81" t="str">
        <f t="shared" si="0"/>
        <v>SEG</v>
      </c>
      <c r="L3" s="81" t="str">
        <f t="shared" si="0"/>
        <v>TER</v>
      </c>
      <c r="M3" s="81" t="str">
        <f t="shared" si="0"/>
        <v>QUA</v>
      </c>
      <c r="N3" s="81" t="str">
        <f t="shared" si="0"/>
        <v>QUI</v>
      </c>
      <c r="O3" s="81" t="str">
        <f t="shared" si="0"/>
        <v>SEX</v>
      </c>
      <c r="P3" s="81" t="str">
        <f t="shared" si="0"/>
        <v>SÁB</v>
      </c>
      <c r="Q3" s="81" t="str">
        <f t="shared" si="0"/>
        <v>DOM</v>
      </c>
      <c r="R3" s="81" t="str">
        <f t="shared" si="0"/>
        <v>SEG</v>
      </c>
      <c r="S3" s="81" t="str">
        <f t="shared" si="0"/>
        <v>TER</v>
      </c>
      <c r="T3" s="81" t="str">
        <f t="shared" si="0"/>
        <v>QUA</v>
      </c>
      <c r="U3" s="81" t="str">
        <f t="shared" si="0"/>
        <v>QUI</v>
      </c>
      <c r="V3" s="81" t="str">
        <f t="shared" si="0"/>
        <v>SEX</v>
      </c>
      <c r="W3" s="81" t="str">
        <f t="shared" si="0"/>
        <v>SÁB</v>
      </c>
      <c r="X3" s="81" t="str">
        <f t="shared" si="0"/>
        <v>DOM</v>
      </c>
      <c r="Y3" s="81" t="str">
        <f t="shared" si="0"/>
        <v>SEG</v>
      </c>
      <c r="Z3" s="81" t="str">
        <f t="shared" si="0"/>
        <v>TER</v>
      </c>
      <c r="AA3" s="81" t="str">
        <f t="shared" si="0"/>
        <v>QUA</v>
      </c>
      <c r="AB3" s="81" t="str">
        <f t="shared" si="0"/>
        <v>QUI</v>
      </c>
      <c r="AC3" s="81" t="str">
        <f t="shared" si="0"/>
        <v>SEX</v>
      </c>
      <c r="AD3" s="81" t="str">
        <f t="shared" si="0"/>
        <v>SÁB</v>
      </c>
      <c r="AE3" s="81" t="str">
        <f t="shared" si="0"/>
        <v>DOM</v>
      </c>
      <c r="AF3" s="81" t="str">
        <f t="shared" si="0"/>
        <v>SEG</v>
      </c>
      <c r="AG3" s="81" t="str">
        <f t="shared" si="0"/>
        <v>TER</v>
      </c>
      <c r="AH3" s="81" t="str">
        <f t="shared" si="0"/>
        <v>QUA</v>
      </c>
      <c r="AI3" s="81"/>
      <c r="AJ3" s="81"/>
      <c r="AK3" s="81"/>
      <c r="AL3" s="81"/>
      <c r="AM3" s="69" t="s">
        <v>16</v>
      </c>
    </row>
    <row r="4" spans="1:42" ht="12" customHeight="1" x14ac:dyDescent="0.2">
      <c r="A4" s="514"/>
      <c r="B4" s="66"/>
      <c r="C4" s="492"/>
      <c r="D4" s="69"/>
      <c r="E4" s="503"/>
      <c r="F4" s="69"/>
      <c r="G4" s="68"/>
      <c r="H4" s="625" t="str">
        <f t="shared" ref="H4:AH4" si="1">UPPER(TEXT(H5,"DDD"))</f>
        <v>SEX</v>
      </c>
      <c r="I4" s="625" t="str">
        <f t="shared" si="1"/>
        <v>SÁB</v>
      </c>
      <c r="J4" s="625" t="str">
        <f t="shared" si="1"/>
        <v>DOM</v>
      </c>
      <c r="K4" s="626" t="str">
        <f t="shared" si="1"/>
        <v>SEG</v>
      </c>
      <c r="L4" s="625" t="str">
        <f t="shared" si="1"/>
        <v>TER</v>
      </c>
      <c r="M4" s="625" t="str">
        <f t="shared" si="1"/>
        <v>QUA</v>
      </c>
      <c r="N4" s="625" t="str">
        <f t="shared" si="1"/>
        <v>QUI</v>
      </c>
      <c r="O4" s="625" t="str">
        <f t="shared" si="1"/>
        <v>SEX</v>
      </c>
      <c r="P4" s="625" t="str">
        <f t="shared" si="1"/>
        <v>SÁB</v>
      </c>
      <c r="Q4" s="625" t="str">
        <f t="shared" si="1"/>
        <v>DOM</v>
      </c>
      <c r="R4" s="625" t="str">
        <f t="shared" si="1"/>
        <v>SEG</v>
      </c>
      <c r="S4" s="625" t="str">
        <f t="shared" si="1"/>
        <v>TER</v>
      </c>
      <c r="T4" s="625" t="str">
        <f t="shared" si="1"/>
        <v>QUA</v>
      </c>
      <c r="U4" s="625" t="str">
        <f t="shared" si="1"/>
        <v>QUI</v>
      </c>
      <c r="V4" s="625" t="str">
        <f t="shared" si="1"/>
        <v>SEX</v>
      </c>
      <c r="W4" s="625" t="str">
        <f t="shared" si="1"/>
        <v>SÁB</v>
      </c>
      <c r="X4" s="625" t="str">
        <f t="shared" si="1"/>
        <v>DOM</v>
      </c>
      <c r="Y4" s="625" t="str">
        <f t="shared" si="1"/>
        <v>SEG</v>
      </c>
      <c r="Z4" s="625" t="str">
        <f t="shared" si="1"/>
        <v>TER</v>
      </c>
      <c r="AA4" s="625" t="str">
        <f t="shared" si="1"/>
        <v>QUA</v>
      </c>
      <c r="AB4" s="625" t="str">
        <f t="shared" si="1"/>
        <v>QUI</v>
      </c>
      <c r="AC4" s="625" t="str">
        <f t="shared" si="1"/>
        <v>SEX</v>
      </c>
      <c r="AD4" s="625" t="str">
        <f t="shared" si="1"/>
        <v>SÁB</v>
      </c>
      <c r="AE4" s="625" t="str">
        <f t="shared" si="1"/>
        <v>DOM</v>
      </c>
      <c r="AF4" s="625" t="str">
        <f t="shared" si="1"/>
        <v>SEG</v>
      </c>
      <c r="AG4" s="625" t="str">
        <f t="shared" si="1"/>
        <v>TER</v>
      </c>
      <c r="AH4" s="625" t="str">
        <f t="shared" si="1"/>
        <v>QUA</v>
      </c>
      <c r="AI4" s="625" t="s">
        <v>131</v>
      </c>
      <c r="AJ4" s="625" t="s">
        <v>135</v>
      </c>
      <c r="AK4" s="625" t="s">
        <v>114</v>
      </c>
      <c r="AL4" s="625" t="s">
        <v>115</v>
      </c>
      <c r="AM4" s="69"/>
    </row>
    <row r="5" spans="1:42" ht="21" customHeight="1" x14ac:dyDescent="0.25">
      <c r="A5" s="515" t="s">
        <v>17</v>
      </c>
      <c r="B5" s="75" t="s">
        <v>120</v>
      </c>
      <c r="C5" s="493" t="s">
        <v>32</v>
      </c>
      <c r="D5" s="70" t="s">
        <v>4</v>
      </c>
      <c r="E5" s="74"/>
      <c r="F5" s="75" t="s">
        <v>6</v>
      </c>
      <c r="G5" s="529" t="s">
        <v>78</v>
      </c>
      <c r="H5" s="527">
        <v>46143</v>
      </c>
      <c r="I5" s="527">
        <f t="shared" ref="I5:AH5" si="2">H5+1</f>
        <v>46144</v>
      </c>
      <c r="J5" s="527">
        <f t="shared" si="2"/>
        <v>46145</v>
      </c>
      <c r="K5" s="527">
        <f t="shared" si="2"/>
        <v>46146</v>
      </c>
      <c r="L5" s="527">
        <f t="shared" si="2"/>
        <v>46147</v>
      </c>
      <c r="M5" s="527">
        <f t="shared" si="2"/>
        <v>46148</v>
      </c>
      <c r="N5" s="527">
        <f t="shared" si="2"/>
        <v>46149</v>
      </c>
      <c r="O5" s="527">
        <f t="shared" si="2"/>
        <v>46150</v>
      </c>
      <c r="P5" s="527">
        <f t="shared" si="2"/>
        <v>46151</v>
      </c>
      <c r="Q5" s="527">
        <f t="shared" si="2"/>
        <v>46152</v>
      </c>
      <c r="R5" s="527">
        <f t="shared" si="2"/>
        <v>46153</v>
      </c>
      <c r="S5" s="527">
        <f t="shared" si="2"/>
        <v>46154</v>
      </c>
      <c r="T5" s="527">
        <f t="shared" si="2"/>
        <v>46155</v>
      </c>
      <c r="U5" s="530">
        <f t="shared" si="2"/>
        <v>46156</v>
      </c>
      <c r="V5" s="527">
        <f t="shared" si="2"/>
        <v>46157</v>
      </c>
      <c r="W5" s="527">
        <f t="shared" si="2"/>
        <v>46158</v>
      </c>
      <c r="X5" s="527">
        <f t="shared" si="2"/>
        <v>46159</v>
      </c>
      <c r="Y5" s="527">
        <f t="shared" si="2"/>
        <v>46160</v>
      </c>
      <c r="Z5" s="527">
        <f t="shared" si="2"/>
        <v>46161</v>
      </c>
      <c r="AA5" s="527">
        <f t="shared" si="2"/>
        <v>46162</v>
      </c>
      <c r="AB5" s="527">
        <f t="shared" si="2"/>
        <v>46163</v>
      </c>
      <c r="AC5" s="527">
        <f t="shared" si="2"/>
        <v>46164</v>
      </c>
      <c r="AD5" s="527">
        <f t="shared" si="2"/>
        <v>46165</v>
      </c>
      <c r="AE5" s="527">
        <f t="shared" si="2"/>
        <v>46166</v>
      </c>
      <c r="AF5" s="527">
        <f t="shared" si="2"/>
        <v>46167</v>
      </c>
      <c r="AG5" s="527">
        <f t="shared" si="2"/>
        <v>46168</v>
      </c>
      <c r="AH5" s="527">
        <f t="shared" si="2"/>
        <v>46169</v>
      </c>
      <c r="AI5" s="527">
        <v>46140</v>
      </c>
      <c r="AJ5" s="527">
        <v>46141</v>
      </c>
      <c r="AK5" s="527">
        <v>46142</v>
      </c>
      <c r="AL5" s="527">
        <v>46173</v>
      </c>
      <c r="AM5" s="531" t="s">
        <v>2</v>
      </c>
    </row>
    <row r="6" spans="1:42" ht="18.600000000000001" customHeight="1" x14ac:dyDescent="0.3">
      <c r="A6" s="131">
        <v>17186</v>
      </c>
      <c r="B6" s="520">
        <v>942270</v>
      </c>
      <c r="C6" s="439" t="s">
        <v>33</v>
      </c>
      <c r="D6" s="76" t="s">
        <v>18</v>
      </c>
      <c r="E6" s="74" t="s">
        <v>138</v>
      </c>
      <c r="F6" s="78">
        <v>36</v>
      </c>
      <c r="G6" s="528">
        <v>13</v>
      </c>
      <c r="H6" s="103" t="s">
        <v>9</v>
      </c>
      <c r="I6" s="103"/>
      <c r="J6" s="103" t="s">
        <v>8</v>
      </c>
      <c r="K6" s="613"/>
      <c r="L6" s="108"/>
      <c r="M6" s="215" t="s">
        <v>9</v>
      </c>
      <c r="N6" s="108"/>
      <c r="O6" s="108" t="s">
        <v>9</v>
      </c>
      <c r="P6" s="103"/>
      <c r="Q6" s="103"/>
      <c r="R6" s="614" t="s">
        <v>9</v>
      </c>
      <c r="S6" s="108"/>
      <c r="T6" s="108" t="s">
        <v>8</v>
      </c>
      <c r="U6" s="108"/>
      <c r="V6" s="108" t="s">
        <v>8</v>
      </c>
      <c r="W6" s="103"/>
      <c r="X6" s="103"/>
      <c r="Y6" s="215" t="s">
        <v>9</v>
      </c>
      <c r="Z6" s="108"/>
      <c r="AA6" s="108"/>
      <c r="AB6" s="108" t="s">
        <v>9</v>
      </c>
      <c r="AC6" s="108"/>
      <c r="AD6" s="614" t="s">
        <v>9</v>
      </c>
      <c r="AE6" s="103"/>
      <c r="AF6" s="108" t="s">
        <v>8</v>
      </c>
      <c r="AG6" s="108"/>
      <c r="AH6" s="108" t="s">
        <v>96</v>
      </c>
      <c r="AI6" s="108"/>
      <c r="AJ6" s="108"/>
      <c r="AK6" s="614" t="s">
        <v>9</v>
      </c>
      <c r="AL6" s="103"/>
      <c r="AM6" s="211">
        <v>150</v>
      </c>
      <c r="AN6" s="235"/>
    </row>
    <row r="7" spans="1:42" ht="18.600000000000001" customHeight="1" x14ac:dyDescent="0.3">
      <c r="A7" s="131">
        <v>1124</v>
      </c>
      <c r="B7" s="520"/>
      <c r="C7" s="439" t="s">
        <v>85</v>
      </c>
      <c r="D7" s="76" t="s">
        <v>18</v>
      </c>
      <c r="E7" s="74" t="s">
        <v>138</v>
      </c>
      <c r="F7" s="78">
        <v>36</v>
      </c>
      <c r="G7" s="528">
        <v>13</v>
      </c>
      <c r="H7" s="614" t="s">
        <v>9</v>
      </c>
      <c r="I7" s="103"/>
      <c r="J7" s="103" t="s">
        <v>8</v>
      </c>
      <c r="K7" s="108"/>
      <c r="L7" s="108"/>
      <c r="M7" s="108" t="s">
        <v>8</v>
      </c>
      <c r="N7" s="108"/>
      <c r="O7" s="215" t="s">
        <v>8</v>
      </c>
      <c r="P7" s="103"/>
      <c r="Q7" s="103"/>
      <c r="R7" s="108" t="s">
        <v>8</v>
      </c>
      <c r="S7" s="108"/>
      <c r="T7" s="108" t="s">
        <v>8</v>
      </c>
      <c r="U7" s="108"/>
      <c r="V7" s="108"/>
      <c r="W7" s="215" t="s">
        <v>9</v>
      </c>
      <c r="X7" s="103"/>
      <c r="Y7" s="614" t="s">
        <v>8</v>
      </c>
      <c r="Z7" s="108"/>
      <c r="AA7" s="108"/>
      <c r="AB7" s="108" t="s">
        <v>9</v>
      </c>
      <c r="AC7" s="108"/>
      <c r="AD7" s="103" t="s">
        <v>8</v>
      </c>
      <c r="AE7" s="103" t="s">
        <v>96</v>
      </c>
      <c r="AF7" s="108"/>
      <c r="AG7" s="108"/>
      <c r="AH7" s="215" t="s">
        <v>8</v>
      </c>
      <c r="AI7" s="108"/>
      <c r="AJ7" s="108"/>
      <c r="AK7" s="103"/>
      <c r="AL7" s="103" t="s">
        <v>9</v>
      </c>
      <c r="AM7" s="211">
        <v>150</v>
      </c>
      <c r="AN7" s="235"/>
    </row>
    <row r="8" spans="1:42" ht="18.600000000000001" customHeight="1" x14ac:dyDescent="0.25">
      <c r="A8" s="513">
        <v>1119</v>
      </c>
      <c r="B8" s="127"/>
      <c r="C8" s="439" t="s">
        <v>82</v>
      </c>
      <c r="D8" s="76" t="s">
        <v>18</v>
      </c>
      <c r="E8" s="74" t="s">
        <v>138</v>
      </c>
      <c r="F8" s="78">
        <v>36</v>
      </c>
      <c r="G8" s="528">
        <v>13</v>
      </c>
      <c r="H8" s="103" t="s">
        <v>9</v>
      </c>
      <c r="I8" s="103"/>
      <c r="J8" s="215" t="s">
        <v>8</v>
      </c>
      <c r="K8" s="108"/>
      <c r="L8" s="108"/>
      <c r="M8" s="108" t="s">
        <v>9</v>
      </c>
      <c r="N8" s="108"/>
      <c r="O8" s="614" t="s">
        <v>8</v>
      </c>
      <c r="P8" s="103"/>
      <c r="Q8" s="103"/>
      <c r="R8" s="108" t="s">
        <v>9</v>
      </c>
      <c r="S8" s="108"/>
      <c r="T8" s="108" t="s">
        <v>8</v>
      </c>
      <c r="U8" s="108"/>
      <c r="V8" s="108"/>
      <c r="W8" s="103" t="s">
        <v>9</v>
      </c>
      <c r="X8" s="103"/>
      <c r="Y8" s="215" t="s">
        <v>8</v>
      </c>
      <c r="Z8" s="108" t="s">
        <v>96</v>
      </c>
      <c r="AA8" s="108"/>
      <c r="AB8" s="108"/>
      <c r="AC8" s="108" t="s">
        <v>8</v>
      </c>
      <c r="AD8" s="103"/>
      <c r="AE8" s="103"/>
      <c r="AF8" s="108"/>
      <c r="AG8" s="215" t="s">
        <v>9</v>
      </c>
      <c r="AH8" s="108"/>
      <c r="AI8" s="614" t="s">
        <v>8</v>
      </c>
      <c r="AJ8" s="108"/>
      <c r="AK8" s="103"/>
      <c r="AL8" s="103" t="s">
        <v>9</v>
      </c>
      <c r="AM8" s="211">
        <v>150</v>
      </c>
      <c r="AN8" s="235"/>
    </row>
    <row r="9" spans="1:42" ht="18.600000000000001" customHeight="1" x14ac:dyDescent="0.3">
      <c r="A9" s="131">
        <v>178</v>
      </c>
      <c r="B9" s="520">
        <v>1420472</v>
      </c>
      <c r="C9" s="289" t="s">
        <v>73</v>
      </c>
      <c r="D9" s="157" t="s">
        <v>18</v>
      </c>
      <c r="E9" s="74" t="s">
        <v>138</v>
      </c>
      <c r="F9" s="78">
        <v>36</v>
      </c>
      <c r="G9" s="528">
        <v>13</v>
      </c>
      <c r="H9" s="103"/>
      <c r="I9" s="103"/>
      <c r="J9" s="614" t="s">
        <v>8</v>
      </c>
      <c r="K9" s="108"/>
      <c r="L9" s="108"/>
      <c r="M9" s="108" t="s">
        <v>9</v>
      </c>
      <c r="N9" s="108"/>
      <c r="O9" s="108" t="s">
        <v>8</v>
      </c>
      <c r="P9" s="103"/>
      <c r="Q9" s="103"/>
      <c r="R9" s="215" t="s">
        <v>9</v>
      </c>
      <c r="S9" s="108"/>
      <c r="T9" s="108" t="s">
        <v>8</v>
      </c>
      <c r="U9" s="108" t="s">
        <v>96</v>
      </c>
      <c r="V9" s="108"/>
      <c r="W9" s="614" t="s">
        <v>9</v>
      </c>
      <c r="X9" s="103"/>
      <c r="Y9" s="108" t="s">
        <v>8</v>
      </c>
      <c r="Z9" s="108"/>
      <c r="AA9" s="108"/>
      <c r="AB9" s="215" t="s">
        <v>9</v>
      </c>
      <c r="AC9" s="108"/>
      <c r="AD9" s="103" t="s">
        <v>8</v>
      </c>
      <c r="AE9" s="103"/>
      <c r="AF9" s="108"/>
      <c r="AG9" s="108" t="s">
        <v>9</v>
      </c>
      <c r="AH9" s="108"/>
      <c r="AI9" s="215" t="s">
        <v>8</v>
      </c>
      <c r="AJ9" s="108"/>
      <c r="AK9" s="103"/>
      <c r="AL9" s="103" t="s">
        <v>9</v>
      </c>
      <c r="AM9" s="211">
        <v>150</v>
      </c>
      <c r="AN9" s="235"/>
    </row>
    <row r="10" spans="1:42" ht="18.600000000000001" customHeight="1" x14ac:dyDescent="0.3">
      <c r="A10" s="131">
        <v>11863</v>
      </c>
      <c r="B10" s="520">
        <v>1288521</v>
      </c>
      <c r="C10" s="289" t="s">
        <v>91</v>
      </c>
      <c r="D10" s="157" t="s">
        <v>18</v>
      </c>
      <c r="E10" s="74" t="s">
        <v>138</v>
      </c>
      <c r="F10" s="78">
        <v>36</v>
      </c>
      <c r="G10" s="528">
        <v>13</v>
      </c>
      <c r="H10" s="215" t="s">
        <v>9</v>
      </c>
      <c r="I10" s="103"/>
      <c r="J10" s="103" t="s">
        <v>8</v>
      </c>
      <c r="K10" s="108" t="s">
        <v>96</v>
      </c>
      <c r="L10" s="108"/>
      <c r="M10" s="108"/>
      <c r="N10" s="108"/>
      <c r="O10" s="108" t="s">
        <v>8</v>
      </c>
      <c r="P10" s="103"/>
      <c r="Q10" s="103"/>
      <c r="R10" s="108" t="s">
        <v>9</v>
      </c>
      <c r="S10" s="108"/>
      <c r="T10" s="614" t="s">
        <v>8</v>
      </c>
      <c r="U10" s="108"/>
      <c r="V10" s="108"/>
      <c r="W10" s="103" t="s">
        <v>9</v>
      </c>
      <c r="X10" s="103"/>
      <c r="Y10" s="108" t="s">
        <v>9</v>
      </c>
      <c r="Z10" s="108"/>
      <c r="AA10" s="215" t="s">
        <v>8</v>
      </c>
      <c r="AB10" s="108"/>
      <c r="AC10" s="108"/>
      <c r="AD10" s="614" t="s">
        <v>8</v>
      </c>
      <c r="AE10" s="103"/>
      <c r="AF10" s="108"/>
      <c r="AG10" s="108" t="s">
        <v>9</v>
      </c>
      <c r="AH10" s="108"/>
      <c r="AI10" s="108" t="s">
        <v>9</v>
      </c>
      <c r="AJ10" s="108"/>
      <c r="AK10" s="103" t="s">
        <v>8</v>
      </c>
      <c r="AL10" s="103"/>
      <c r="AM10" s="211">
        <v>150</v>
      </c>
      <c r="AN10" s="235"/>
    </row>
    <row r="11" spans="1:42" ht="18.600000000000001" customHeight="1" x14ac:dyDescent="0.3">
      <c r="A11" s="131">
        <v>1186</v>
      </c>
      <c r="B11" s="520">
        <v>368611</v>
      </c>
      <c r="C11" s="439" t="s">
        <v>68</v>
      </c>
      <c r="D11" s="76" t="s">
        <v>18</v>
      </c>
      <c r="E11" s="74" t="s">
        <v>138</v>
      </c>
      <c r="F11" s="78">
        <v>36</v>
      </c>
      <c r="G11" s="528">
        <v>13</v>
      </c>
      <c r="H11" s="103" t="s">
        <v>9</v>
      </c>
      <c r="I11" s="103"/>
      <c r="J11" s="103" t="s">
        <v>8</v>
      </c>
      <c r="K11" s="108"/>
      <c r="L11" s="108"/>
      <c r="M11" s="614" t="s">
        <v>9</v>
      </c>
      <c r="N11" s="108"/>
      <c r="O11" s="108" t="s">
        <v>8</v>
      </c>
      <c r="P11" s="103" t="s">
        <v>96</v>
      </c>
      <c r="Q11" s="103"/>
      <c r="R11" s="108"/>
      <c r="S11" s="108"/>
      <c r="T11" s="215" t="s">
        <v>8</v>
      </c>
      <c r="U11" s="108"/>
      <c r="V11" s="108"/>
      <c r="W11" s="103" t="s">
        <v>9</v>
      </c>
      <c r="X11" s="103"/>
      <c r="Y11" s="108" t="s">
        <v>8</v>
      </c>
      <c r="Z11" s="108"/>
      <c r="AA11" s="108"/>
      <c r="AB11" s="614" t="s">
        <v>9</v>
      </c>
      <c r="AC11" s="108"/>
      <c r="AD11" s="215" t="s">
        <v>9</v>
      </c>
      <c r="AE11" s="103"/>
      <c r="AF11" s="108"/>
      <c r="AG11" s="108" t="s">
        <v>9</v>
      </c>
      <c r="AH11" s="108"/>
      <c r="AI11" s="108" t="s">
        <v>8</v>
      </c>
      <c r="AJ11" s="108"/>
      <c r="AK11" s="103"/>
      <c r="AL11" s="215" t="s">
        <v>9</v>
      </c>
      <c r="AM11" s="211">
        <v>150</v>
      </c>
      <c r="AN11" s="235"/>
    </row>
    <row r="12" spans="1:42" s="60" customFormat="1" ht="18.600000000000001" customHeight="1" x14ac:dyDescent="0.25">
      <c r="A12" s="490">
        <v>17875</v>
      </c>
      <c r="B12" s="521">
        <v>438793</v>
      </c>
      <c r="C12" s="484" t="s">
        <v>42</v>
      </c>
      <c r="D12" s="485" t="s">
        <v>18</v>
      </c>
      <c r="E12" s="74" t="s">
        <v>137</v>
      </c>
      <c r="F12" s="78">
        <v>36</v>
      </c>
      <c r="G12" s="528">
        <v>13</v>
      </c>
      <c r="H12" s="215" t="s">
        <v>9</v>
      </c>
      <c r="I12" s="103"/>
      <c r="J12" s="103" t="s">
        <v>8</v>
      </c>
      <c r="K12" s="108"/>
      <c r="L12" s="108"/>
      <c r="M12" s="614" t="s">
        <v>9</v>
      </c>
      <c r="N12" s="108"/>
      <c r="O12" s="108" t="s">
        <v>8</v>
      </c>
      <c r="P12" s="103"/>
      <c r="Q12" s="103"/>
      <c r="R12" s="108" t="s">
        <v>9</v>
      </c>
      <c r="S12" s="108"/>
      <c r="T12" s="108" t="s">
        <v>96</v>
      </c>
      <c r="U12" s="108"/>
      <c r="V12" s="108"/>
      <c r="W12" s="215" t="s">
        <v>9</v>
      </c>
      <c r="X12" s="103"/>
      <c r="Y12" s="614" t="s">
        <v>8</v>
      </c>
      <c r="Z12" s="108"/>
      <c r="AA12" s="108"/>
      <c r="AB12" s="108" t="s">
        <v>9</v>
      </c>
      <c r="AC12" s="108"/>
      <c r="AD12" s="103" t="s">
        <v>8</v>
      </c>
      <c r="AE12" s="103"/>
      <c r="AF12" s="108"/>
      <c r="AG12" s="108" t="s">
        <v>8</v>
      </c>
      <c r="AH12" s="108"/>
      <c r="AI12" s="215" t="s">
        <v>8</v>
      </c>
      <c r="AJ12" s="108"/>
      <c r="AK12" s="103"/>
      <c r="AL12" s="103" t="s">
        <v>9</v>
      </c>
      <c r="AM12" s="211">
        <v>150</v>
      </c>
    </row>
    <row r="13" spans="1:42" ht="18.600000000000001" customHeight="1" x14ac:dyDescent="0.25">
      <c r="A13" s="506">
        <v>17871</v>
      </c>
      <c r="B13" s="522">
        <v>484497</v>
      </c>
      <c r="C13" s="494" t="s">
        <v>66</v>
      </c>
      <c r="D13" s="486" t="s">
        <v>18</v>
      </c>
      <c r="E13" s="74" t="s">
        <v>137</v>
      </c>
      <c r="F13" s="78">
        <v>36</v>
      </c>
      <c r="G13" s="528">
        <v>13</v>
      </c>
      <c r="H13" s="108" t="s">
        <v>9</v>
      </c>
      <c r="I13" s="103"/>
      <c r="J13" s="103" t="s">
        <v>8</v>
      </c>
      <c r="K13" s="108"/>
      <c r="L13" s="108"/>
      <c r="M13" s="215" t="s">
        <v>9</v>
      </c>
      <c r="N13" s="108"/>
      <c r="O13" s="108" t="s">
        <v>8</v>
      </c>
      <c r="P13" s="103" t="s">
        <v>96</v>
      </c>
      <c r="Q13" s="103"/>
      <c r="R13" s="614" t="s">
        <v>9</v>
      </c>
      <c r="S13" s="108"/>
      <c r="T13" s="614" t="s">
        <v>8</v>
      </c>
      <c r="U13" s="108"/>
      <c r="V13" s="108"/>
      <c r="W13" s="103"/>
      <c r="X13" s="103"/>
      <c r="Y13" s="215" t="s">
        <v>8</v>
      </c>
      <c r="Z13" s="108"/>
      <c r="AA13" s="108"/>
      <c r="AB13" s="108" t="s">
        <v>9</v>
      </c>
      <c r="AC13" s="108"/>
      <c r="AD13" s="103" t="s">
        <v>8</v>
      </c>
      <c r="AE13" s="103"/>
      <c r="AF13" s="108"/>
      <c r="AG13" s="108" t="s">
        <v>9</v>
      </c>
      <c r="AH13" s="108"/>
      <c r="AI13" s="614" t="s">
        <v>8</v>
      </c>
      <c r="AJ13" s="108"/>
      <c r="AK13" s="103" t="s">
        <v>8</v>
      </c>
      <c r="AL13" s="103"/>
      <c r="AM13" s="211">
        <v>150</v>
      </c>
    </row>
    <row r="14" spans="1:42" ht="18.600000000000001" customHeight="1" x14ac:dyDescent="0.25">
      <c r="A14" s="490">
        <v>17862</v>
      </c>
      <c r="B14" s="521">
        <v>1375395</v>
      </c>
      <c r="C14" s="484" t="s">
        <v>43</v>
      </c>
      <c r="D14" s="485" t="s">
        <v>18</v>
      </c>
      <c r="E14" s="74" t="s">
        <v>137</v>
      </c>
      <c r="F14" s="78">
        <v>36</v>
      </c>
      <c r="G14" s="528">
        <v>13</v>
      </c>
      <c r="H14" s="103" t="s">
        <v>9</v>
      </c>
      <c r="I14" s="103"/>
      <c r="J14" s="215" t="s">
        <v>8</v>
      </c>
      <c r="K14" s="108"/>
      <c r="L14" s="108"/>
      <c r="M14" s="108" t="s">
        <v>9</v>
      </c>
      <c r="N14" s="108"/>
      <c r="O14" s="614" t="s">
        <v>8</v>
      </c>
      <c r="P14" s="103"/>
      <c r="Q14" s="103"/>
      <c r="R14" s="215" t="s">
        <v>9</v>
      </c>
      <c r="S14" s="108"/>
      <c r="T14" s="108" t="s">
        <v>8</v>
      </c>
      <c r="U14" s="108"/>
      <c r="V14" s="108"/>
      <c r="W14" s="103" t="s">
        <v>9</v>
      </c>
      <c r="X14" s="103"/>
      <c r="Y14" s="108" t="s">
        <v>8</v>
      </c>
      <c r="Z14" s="108"/>
      <c r="AA14" s="108"/>
      <c r="AB14" s="215" t="s">
        <v>9</v>
      </c>
      <c r="AC14" s="108"/>
      <c r="AD14" s="103" t="s">
        <v>8</v>
      </c>
      <c r="AE14" s="103"/>
      <c r="AF14" s="108"/>
      <c r="AG14" s="614" t="s">
        <v>9</v>
      </c>
      <c r="AH14" s="108"/>
      <c r="AI14" s="108" t="s">
        <v>8</v>
      </c>
      <c r="AJ14" s="108"/>
      <c r="AK14" s="103"/>
      <c r="AL14" s="103" t="s">
        <v>96</v>
      </c>
      <c r="AM14" s="211">
        <v>150</v>
      </c>
    </row>
    <row r="15" spans="1:42" ht="18.600000000000001" customHeight="1" x14ac:dyDescent="0.25">
      <c r="A15" s="507">
        <v>17859</v>
      </c>
      <c r="B15" s="523">
        <v>443070</v>
      </c>
      <c r="C15" s="484" t="s">
        <v>45</v>
      </c>
      <c r="D15" s="485" t="s">
        <v>18</v>
      </c>
      <c r="E15" s="74" t="s">
        <v>137</v>
      </c>
      <c r="F15" s="78">
        <v>36</v>
      </c>
      <c r="G15" s="528">
        <v>13</v>
      </c>
      <c r="H15" s="103" t="s">
        <v>96</v>
      </c>
      <c r="I15" s="103"/>
      <c r="J15" s="614" t="s">
        <v>8</v>
      </c>
      <c r="K15" s="108"/>
      <c r="L15" s="108"/>
      <c r="M15" s="108" t="s">
        <v>9</v>
      </c>
      <c r="N15" s="108"/>
      <c r="O15" s="215" t="s">
        <v>8</v>
      </c>
      <c r="P15" s="103"/>
      <c r="Q15" s="103" t="s">
        <v>8</v>
      </c>
      <c r="R15" s="108"/>
      <c r="S15" s="108"/>
      <c r="T15" s="108" t="s">
        <v>8</v>
      </c>
      <c r="U15" s="108"/>
      <c r="V15" s="108"/>
      <c r="W15" s="614" t="s">
        <v>9</v>
      </c>
      <c r="X15" s="103"/>
      <c r="Y15" s="108" t="s">
        <v>8</v>
      </c>
      <c r="Z15" s="108"/>
      <c r="AA15" s="108"/>
      <c r="AB15" s="108" t="s">
        <v>9</v>
      </c>
      <c r="AC15" s="108"/>
      <c r="AD15" s="215" t="s">
        <v>8</v>
      </c>
      <c r="AE15" s="103"/>
      <c r="AF15" s="108"/>
      <c r="AG15" s="108" t="s">
        <v>9</v>
      </c>
      <c r="AH15" s="108"/>
      <c r="AI15" s="108" t="s">
        <v>8</v>
      </c>
      <c r="AJ15" s="108"/>
      <c r="AK15" s="103"/>
      <c r="AL15" s="103" t="s">
        <v>9</v>
      </c>
      <c r="AM15" s="620">
        <v>150</v>
      </c>
    </row>
    <row r="16" spans="1:42" ht="18.600000000000001" customHeight="1" x14ac:dyDescent="0.25">
      <c r="A16" s="512">
        <v>1185</v>
      </c>
      <c r="B16" s="26">
        <v>397879</v>
      </c>
      <c r="C16" s="484" t="s">
        <v>55</v>
      </c>
      <c r="D16" s="485" t="s">
        <v>18</v>
      </c>
      <c r="E16" s="74" t="s">
        <v>137</v>
      </c>
      <c r="F16" s="78">
        <v>36</v>
      </c>
      <c r="G16" s="528">
        <v>13</v>
      </c>
      <c r="H16" s="614" t="s">
        <v>9</v>
      </c>
      <c r="I16" s="103"/>
      <c r="J16" s="103"/>
      <c r="K16" s="108"/>
      <c r="L16" s="108"/>
      <c r="M16" s="108" t="s">
        <v>8</v>
      </c>
      <c r="N16" s="108"/>
      <c r="O16" s="215" t="s">
        <v>9</v>
      </c>
      <c r="P16" s="103"/>
      <c r="Q16" s="103"/>
      <c r="R16" s="108"/>
      <c r="S16" s="108" t="s">
        <v>9</v>
      </c>
      <c r="T16" s="614" t="s">
        <v>9</v>
      </c>
      <c r="U16" s="108"/>
      <c r="V16" s="108"/>
      <c r="W16" s="103" t="s">
        <v>9</v>
      </c>
      <c r="X16" s="103"/>
      <c r="Y16" s="108" t="s">
        <v>8</v>
      </c>
      <c r="Z16" s="108" t="s">
        <v>96</v>
      </c>
      <c r="AA16" s="108"/>
      <c r="AB16" s="108" t="s">
        <v>9</v>
      </c>
      <c r="AC16" s="108"/>
      <c r="AD16" s="103"/>
      <c r="AE16" s="103"/>
      <c r="AF16" s="108" t="s">
        <v>9</v>
      </c>
      <c r="AG16" s="215" t="s">
        <v>8</v>
      </c>
      <c r="AH16" s="108"/>
      <c r="AI16" s="108" t="s">
        <v>8</v>
      </c>
      <c r="AJ16" s="108"/>
      <c r="AK16" s="103"/>
      <c r="AL16" s="623" t="s">
        <v>9</v>
      </c>
      <c r="AM16" s="622">
        <v>150</v>
      </c>
      <c r="AN16" s="615"/>
      <c r="AO16" s="615"/>
      <c r="AP16" s="615"/>
    </row>
    <row r="17" spans="1:42" ht="18.600000000000001" customHeight="1" x14ac:dyDescent="0.25">
      <c r="A17" s="508"/>
      <c r="B17" s="521"/>
      <c r="C17" s="484" t="s">
        <v>48</v>
      </c>
      <c r="D17" s="485" t="s">
        <v>18</v>
      </c>
      <c r="E17" s="74" t="s">
        <v>137</v>
      </c>
      <c r="F17" s="78">
        <v>36</v>
      </c>
      <c r="G17" s="528">
        <v>13</v>
      </c>
      <c r="H17" s="103" t="s">
        <v>9</v>
      </c>
      <c r="I17" s="103"/>
      <c r="J17" s="103" t="s">
        <v>9</v>
      </c>
      <c r="K17" s="108"/>
      <c r="L17" s="108" t="s">
        <v>8</v>
      </c>
      <c r="M17" s="108"/>
      <c r="N17" s="108"/>
      <c r="O17" s="614" t="s">
        <v>9</v>
      </c>
      <c r="P17" s="103"/>
      <c r="Q17" s="103"/>
      <c r="R17" s="108" t="s">
        <v>96</v>
      </c>
      <c r="S17" s="108"/>
      <c r="T17" s="215" t="s">
        <v>8</v>
      </c>
      <c r="U17" s="108"/>
      <c r="V17" s="108" t="s">
        <v>9</v>
      </c>
      <c r="W17" s="103"/>
      <c r="X17" s="103" t="s">
        <v>9</v>
      </c>
      <c r="Y17" s="108"/>
      <c r="Z17" s="108"/>
      <c r="AA17" s="108"/>
      <c r="AB17" s="614" t="s">
        <v>9</v>
      </c>
      <c r="AC17" s="108"/>
      <c r="AD17" s="103" t="s">
        <v>8</v>
      </c>
      <c r="AE17" s="103"/>
      <c r="AF17" s="108"/>
      <c r="AG17" s="614" t="s">
        <v>9</v>
      </c>
      <c r="AH17" s="108"/>
      <c r="AI17" s="108" t="s">
        <v>8</v>
      </c>
      <c r="AJ17" s="108"/>
      <c r="AK17" s="215" t="s">
        <v>9</v>
      </c>
      <c r="AL17" s="619"/>
      <c r="AM17" s="622">
        <v>150</v>
      </c>
      <c r="AN17" s="615"/>
      <c r="AO17" s="615"/>
      <c r="AP17" s="615"/>
    </row>
    <row r="18" spans="1:42" ht="18.600000000000001" customHeight="1" x14ac:dyDescent="0.3">
      <c r="A18" s="509">
        <v>1196</v>
      </c>
      <c r="B18" s="524">
        <v>1977595</v>
      </c>
      <c r="C18" s="439" t="s">
        <v>20</v>
      </c>
      <c r="D18" s="76" t="s">
        <v>18</v>
      </c>
      <c r="E18" s="74" t="s">
        <v>138</v>
      </c>
      <c r="F18" s="78">
        <v>36</v>
      </c>
      <c r="G18" s="528">
        <v>13</v>
      </c>
      <c r="H18" s="215" t="s">
        <v>8</v>
      </c>
      <c r="I18" s="103"/>
      <c r="J18" s="103"/>
      <c r="K18" s="614" t="s">
        <v>9</v>
      </c>
      <c r="L18" s="108"/>
      <c r="M18" s="108" t="s">
        <v>8</v>
      </c>
      <c r="N18" s="108"/>
      <c r="O18" s="108"/>
      <c r="P18" s="103" t="s">
        <v>9</v>
      </c>
      <c r="Q18" s="103"/>
      <c r="R18" s="108" t="s">
        <v>9</v>
      </c>
      <c r="S18" s="108" t="s">
        <v>96</v>
      </c>
      <c r="T18" s="108"/>
      <c r="U18" s="108"/>
      <c r="V18" s="108"/>
      <c r="W18" s="614" t="s">
        <v>8</v>
      </c>
      <c r="X18" s="103"/>
      <c r="Y18" s="108"/>
      <c r="Z18" s="614" t="s">
        <v>9</v>
      </c>
      <c r="AA18" s="108"/>
      <c r="AB18" s="108" t="s">
        <v>9</v>
      </c>
      <c r="AC18" s="108"/>
      <c r="AD18" s="215" t="s">
        <v>8</v>
      </c>
      <c r="AE18" s="103"/>
      <c r="AF18" s="108"/>
      <c r="AG18" s="108" t="s">
        <v>8</v>
      </c>
      <c r="AH18" s="108"/>
      <c r="AI18" s="108"/>
      <c r="AJ18" s="108" t="s">
        <v>9</v>
      </c>
      <c r="AK18" s="103"/>
      <c r="AL18" s="624" t="s">
        <v>8</v>
      </c>
      <c r="AM18" s="622">
        <v>150</v>
      </c>
      <c r="AN18" s="615"/>
      <c r="AO18" s="615"/>
      <c r="AP18" s="615"/>
    </row>
    <row r="19" spans="1:42" ht="18.600000000000001" customHeight="1" x14ac:dyDescent="0.3">
      <c r="A19" s="509">
        <v>1187</v>
      </c>
      <c r="B19" s="524">
        <v>1857792</v>
      </c>
      <c r="C19" s="439" t="s">
        <v>133</v>
      </c>
      <c r="D19" s="76" t="s">
        <v>18</v>
      </c>
      <c r="E19" s="74" t="s">
        <v>138</v>
      </c>
      <c r="F19" s="78">
        <v>36</v>
      </c>
      <c r="G19" s="528">
        <v>13</v>
      </c>
      <c r="H19" s="614" t="s">
        <v>8</v>
      </c>
      <c r="I19" s="103"/>
      <c r="J19" s="103"/>
      <c r="K19" s="215" t="s">
        <v>9</v>
      </c>
      <c r="L19" s="108"/>
      <c r="M19" s="108" t="s">
        <v>9</v>
      </c>
      <c r="N19" s="108"/>
      <c r="O19" s="108"/>
      <c r="P19" s="103" t="s">
        <v>9</v>
      </c>
      <c r="Q19" s="103"/>
      <c r="R19" s="108" t="s">
        <v>8</v>
      </c>
      <c r="S19" s="108"/>
      <c r="T19" s="108" t="s">
        <v>9</v>
      </c>
      <c r="U19" s="108"/>
      <c r="V19" s="215" t="s">
        <v>8</v>
      </c>
      <c r="W19" s="103"/>
      <c r="X19" s="103"/>
      <c r="Y19" s="108" t="s">
        <v>96</v>
      </c>
      <c r="Z19" s="108"/>
      <c r="AA19" s="614" t="s">
        <v>8</v>
      </c>
      <c r="AB19" s="108"/>
      <c r="AC19" s="108"/>
      <c r="AD19" s="103"/>
      <c r="AE19" s="215" t="s">
        <v>9</v>
      </c>
      <c r="AF19" s="108"/>
      <c r="AG19" s="108" t="s">
        <v>9</v>
      </c>
      <c r="AH19" s="108"/>
      <c r="AI19" s="108"/>
      <c r="AJ19" s="108" t="s">
        <v>9</v>
      </c>
      <c r="AK19" s="103"/>
      <c r="AL19" s="623" t="s">
        <v>8</v>
      </c>
      <c r="AM19" s="622">
        <v>150</v>
      </c>
      <c r="AN19" s="616"/>
      <c r="AO19" s="617"/>
      <c r="AP19" s="618"/>
    </row>
    <row r="20" spans="1:42" ht="18.600000000000001" customHeight="1" x14ac:dyDescent="0.3">
      <c r="A20" s="509">
        <v>1188</v>
      </c>
      <c r="B20" s="524">
        <v>345493</v>
      </c>
      <c r="C20" s="439" t="s">
        <v>22</v>
      </c>
      <c r="D20" s="76" t="s">
        <v>18</v>
      </c>
      <c r="E20" s="74" t="s">
        <v>138</v>
      </c>
      <c r="F20" s="78">
        <v>36</v>
      </c>
      <c r="G20" s="528">
        <v>13</v>
      </c>
      <c r="H20" s="103" t="s">
        <v>8</v>
      </c>
      <c r="I20" s="103"/>
      <c r="J20" s="103"/>
      <c r="K20" s="108" t="s">
        <v>9</v>
      </c>
      <c r="L20" s="108"/>
      <c r="M20" s="108" t="s">
        <v>9</v>
      </c>
      <c r="N20" s="108"/>
      <c r="O20" s="108"/>
      <c r="P20" s="215" t="s">
        <v>9</v>
      </c>
      <c r="Q20" s="103"/>
      <c r="R20" s="614" t="s">
        <v>8</v>
      </c>
      <c r="S20" s="108"/>
      <c r="T20" s="108"/>
      <c r="U20" s="108" t="s">
        <v>9</v>
      </c>
      <c r="V20" s="108"/>
      <c r="W20" s="215" t="s">
        <v>8</v>
      </c>
      <c r="X20" s="103" t="s">
        <v>96</v>
      </c>
      <c r="Y20" s="108"/>
      <c r="Z20" s="108"/>
      <c r="AA20" s="108"/>
      <c r="AB20" s="108" t="s">
        <v>8</v>
      </c>
      <c r="AC20" s="108"/>
      <c r="AD20" s="103"/>
      <c r="AE20" s="614" t="s">
        <v>9</v>
      </c>
      <c r="AF20" s="108"/>
      <c r="AG20" s="215" t="s">
        <v>9</v>
      </c>
      <c r="AH20" s="108"/>
      <c r="AI20" s="108"/>
      <c r="AJ20" s="108" t="s">
        <v>9</v>
      </c>
      <c r="AK20" s="103"/>
      <c r="AL20" s="619" t="s">
        <v>9</v>
      </c>
      <c r="AM20" s="622">
        <v>150</v>
      </c>
      <c r="AN20" s="615"/>
      <c r="AO20" s="615"/>
      <c r="AP20" s="615"/>
    </row>
    <row r="21" spans="1:42" ht="18.600000000000001" customHeight="1" x14ac:dyDescent="0.3">
      <c r="A21" s="509">
        <v>1198</v>
      </c>
      <c r="B21" s="524">
        <v>1867868</v>
      </c>
      <c r="C21" s="495" t="s">
        <v>25</v>
      </c>
      <c r="D21" s="76" t="s">
        <v>18</v>
      </c>
      <c r="E21" s="74" t="s">
        <v>138</v>
      </c>
      <c r="F21" s="78">
        <v>36</v>
      </c>
      <c r="G21" s="528">
        <v>13</v>
      </c>
      <c r="H21" s="103" t="s">
        <v>8</v>
      </c>
      <c r="I21" s="103"/>
      <c r="J21" s="103"/>
      <c r="K21" s="108" t="s">
        <v>9</v>
      </c>
      <c r="L21" s="108"/>
      <c r="M21" s="215" t="s">
        <v>8</v>
      </c>
      <c r="N21" s="108"/>
      <c r="O21" s="108"/>
      <c r="P21" s="103" t="s">
        <v>9</v>
      </c>
      <c r="Q21" s="103"/>
      <c r="R21" s="108" t="s">
        <v>8</v>
      </c>
      <c r="S21" s="108"/>
      <c r="T21" s="108"/>
      <c r="U21" s="614" t="s">
        <v>9</v>
      </c>
      <c r="V21" s="108"/>
      <c r="W21" s="103" t="s">
        <v>8</v>
      </c>
      <c r="X21" s="103"/>
      <c r="Y21" s="108"/>
      <c r="Z21" s="108" t="s">
        <v>9</v>
      </c>
      <c r="AA21" s="108"/>
      <c r="AB21" s="614" t="s">
        <v>8</v>
      </c>
      <c r="AC21" s="108" t="s">
        <v>96</v>
      </c>
      <c r="AD21" s="103"/>
      <c r="AE21" s="103"/>
      <c r="AF21" s="108"/>
      <c r="AG21" s="215" t="s">
        <v>8</v>
      </c>
      <c r="AH21" s="108"/>
      <c r="AI21" s="108"/>
      <c r="AJ21" s="614" t="s">
        <v>9</v>
      </c>
      <c r="AK21" s="103"/>
      <c r="AL21" s="619" t="s">
        <v>8</v>
      </c>
      <c r="AM21" s="622">
        <v>150</v>
      </c>
      <c r="AN21" s="615"/>
      <c r="AO21" s="615"/>
      <c r="AP21" s="615"/>
    </row>
    <row r="22" spans="1:42" ht="18.600000000000001" customHeight="1" x14ac:dyDescent="0.3">
      <c r="A22" s="509">
        <v>1190</v>
      </c>
      <c r="B22" s="524"/>
      <c r="C22" s="439" t="s">
        <v>26</v>
      </c>
      <c r="D22" s="76" t="s">
        <v>18</v>
      </c>
      <c r="E22" s="74" t="s">
        <v>138</v>
      </c>
      <c r="F22" s="78">
        <v>36</v>
      </c>
      <c r="G22" s="528">
        <v>13</v>
      </c>
      <c r="H22" s="103" t="s">
        <v>8</v>
      </c>
      <c r="I22" s="103"/>
      <c r="J22" s="103"/>
      <c r="K22" s="108" t="s">
        <v>9</v>
      </c>
      <c r="L22" s="108"/>
      <c r="M22" s="614" t="s">
        <v>8</v>
      </c>
      <c r="N22" s="108"/>
      <c r="O22" s="108"/>
      <c r="P22" s="103" t="s">
        <v>9</v>
      </c>
      <c r="Q22" s="103"/>
      <c r="R22" s="215" t="s">
        <v>8</v>
      </c>
      <c r="S22" s="108"/>
      <c r="T22" s="108"/>
      <c r="U22" s="108" t="s">
        <v>9</v>
      </c>
      <c r="V22" s="108"/>
      <c r="W22" s="103" t="s">
        <v>8</v>
      </c>
      <c r="X22" s="103"/>
      <c r="Y22" s="108"/>
      <c r="Z22" s="108" t="s">
        <v>9</v>
      </c>
      <c r="AA22" s="108"/>
      <c r="AB22" s="108" t="s">
        <v>8</v>
      </c>
      <c r="AC22" s="108"/>
      <c r="AD22" s="103"/>
      <c r="AE22" s="103" t="s">
        <v>9</v>
      </c>
      <c r="AF22" s="108"/>
      <c r="AG22" s="614" t="s">
        <v>8</v>
      </c>
      <c r="AH22" s="108"/>
      <c r="AI22" s="108"/>
      <c r="AJ22" s="108" t="s">
        <v>96</v>
      </c>
      <c r="AK22" s="215" t="s">
        <v>8</v>
      </c>
      <c r="AL22" s="619"/>
      <c r="AM22" s="622">
        <v>150</v>
      </c>
      <c r="AN22" s="615"/>
      <c r="AO22" s="615"/>
      <c r="AP22" s="615"/>
    </row>
    <row r="23" spans="1:42" ht="18.600000000000001" customHeight="1" x14ac:dyDescent="0.3">
      <c r="A23" s="509">
        <v>11111</v>
      </c>
      <c r="B23" s="524"/>
      <c r="C23" s="439" t="s">
        <v>27</v>
      </c>
      <c r="D23" s="76" t="s">
        <v>18</v>
      </c>
      <c r="E23" s="74" t="s">
        <v>138</v>
      </c>
      <c r="F23" s="78">
        <v>36</v>
      </c>
      <c r="G23" s="528">
        <v>13</v>
      </c>
      <c r="H23" s="103" t="s">
        <v>8</v>
      </c>
      <c r="I23" s="103"/>
      <c r="J23" s="103"/>
      <c r="K23" s="108" t="s">
        <v>9</v>
      </c>
      <c r="L23" s="108"/>
      <c r="M23" s="108" t="s">
        <v>8</v>
      </c>
      <c r="N23" s="108"/>
      <c r="O23" s="108"/>
      <c r="P23" s="614" t="s">
        <v>9</v>
      </c>
      <c r="Q23" s="103"/>
      <c r="R23" s="108" t="s">
        <v>9</v>
      </c>
      <c r="S23" s="108"/>
      <c r="T23" s="108"/>
      <c r="U23" s="215" t="s">
        <v>9</v>
      </c>
      <c r="V23" s="108"/>
      <c r="W23" s="103" t="s">
        <v>8</v>
      </c>
      <c r="X23" s="103"/>
      <c r="Y23" s="108"/>
      <c r="Z23" s="108" t="s">
        <v>9</v>
      </c>
      <c r="AA23" s="108"/>
      <c r="AB23" s="215" t="s">
        <v>8</v>
      </c>
      <c r="AC23" s="108"/>
      <c r="AD23" s="103" t="s">
        <v>9</v>
      </c>
      <c r="AE23" s="103"/>
      <c r="AF23" s="614" t="s">
        <v>8</v>
      </c>
      <c r="AG23" s="108" t="s">
        <v>96</v>
      </c>
      <c r="AH23" s="108"/>
      <c r="AI23" s="108"/>
      <c r="AJ23" s="215" t="s">
        <v>9</v>
      </c>
      <c r="AK23" s="103"/>
      <c r="AL23" s="619"/>
      <c r="AM23" s="622">
        <v>150</v>
      </c>
    </row>
    <row r="24" spans="1:42" ht="18.600000000000001" customHeight="1" x14ac:dyDescent="0.25">
      <c r="A24" s="510">
        <v>1125</v>
      </c>
      <c r="B24" s="23"/>
      <c r="C24" s="484" t="s">
        <v>87</v>
      </c>
      <c r="D24" s="485" t="s">
        <v>39</v>
      </c>
      <c r="E24" s="74" t="s">
        <v>137</v>
      </c>
      <c r="F24" s="78">
        <v>36</v>
      </c>
      <c r="G24" s="528">
        <v>13</v>
      </c>
      <c r="H24" s="215" t="s">
        <v>8</v>
      </c>
      <c r="I24" s="103" t="s">
        <v>96</v>
      </c>
      <c r="J24" s="103"/>
      <c r="K24" s="108"/>
      <c r="L24" s="108"/>
      <c r="M24" s="108" t="s">
        <v>8</v>
      </c>
      <c r="N24" s="108"/>
      <c r="O24" s="108"/>
      <c r="P24" s="103" t="s">
        <v>9</v>
      </c>
      <c r="Q24" s="103"/>
      <c r="R24" s="614" t="s">
        <v>8</v>
      </c>
      <c r="S24" s="108"/>
      <c r="T24" s="108"/>
      <c r="U24" s="215" t="s">
        <v>9</v>
      </c>
      <c r="V24" s="108"/>
      <c r="W24" s="103" t="s">
        <v>8</v>
      </c>
      <c r="X24" s="103"/>
      <c r="Y24" s="108"/>
      <c r="Z24" s="108" t="s">
        <v>9</v>
      </c>
      <c r="AA24" s="108"/>
      <c r="AB24" s="614" t="s">
        <v>8</v>
      </c>
      <c r="AC24" s="108"/>
      <c r="AD24" s="103"/>
      <c r="AE24" s="103" t="s">
        <v>9</v>
      </c>
      <c r="AF24" s="108"/>
      <c r="AG24" s="108" t="s">
        <v>8</v>
      </c>
      <c r="AH24" s="108"/>
      <c r="AI24" s="108"/>
      <c r="AJ24" s="108" t="s">
        <v>9</v>
      </c>
      <c r="AK24" s="103"/>
      <c r="AL24" s="215" t="s">
        <v>8</v>
      </c>
      <c r="AM24" s="621">
        <v>150</v>
      </c>
      <c r="AN24" s="235"/>
    </row>
    <row r="25" spans="1:42" ht="18.600000000000001" customHeight="1" x14ac:dyDescent="0.25">
      <c r="A25" s="510">
        <v>17876</v>
      </c>
      <c r="B25" s="23">
        <v>1286040</v>
      </c>
      <c r="C25" s="484" t="s">
        <v>47</v>
      </c>
      <c r="D25" s="485" t="s">
        <v>18</v>
      </c>
      <c r="E25" s="74" t="s">
        <v>137</v>
      </c>
      <c r="F25" s="78">
        <v>36</v>
      </c>
      <c r="G25" s="528">
        <v>13</v>
      </c>
      <c r="H25" s="614" t="s">
        <v>8</v>
      </c>
      <c r="I25" s="103"/>
      <c r="J25" s="103"/>
      <c r="K25" s="215" t="s">
        <v>9</v>
      </c>
      <c r="L25" s="108"/>
      <c r="M25" s="108" t="s">
        <v>8</v>
      </c>
      <c r="N25" s="108" t="s">
        <v>96</v>
      </c>
      <c r="O25" s="108"/>
      <c r="P25" s="103"/>
      <c r="Q25" s="103"/>
      <c r="R25" s="108" t="s">
        <v>9</v>
      </c>
      <c r="S25" s="108"/>
      <c r="T25" s="108"/>
      <c r="U25" s="108" t="s">
        <v>9</v>
      </c>
      <c r="V25" s="108"/>
      <c r="W25" s="215" t="s">
        <v>8</v>
      </c>
      <c r="X25" s="103"/>
      <c r="Y25" s="108"/>
      <c r="Z25" s="108" t="s">
        <v>9</v>
      </c>
      <c r="AA25" s="108"/>
      <c r="AB25" s="108" t="s">
        <v>8</v>
      </c>
      <c r="AC25" s="108"/>
      <c r="AD25" s="103"/>
      <c r="AE25" s="614" t="s">
        <v>9</v>
      </c>
      <c r="AF25" s="108"/>
      <c r="AG25" s="108" t="s">
        <v>8</v>
      </c>
      <c r="AH25" s="108"/>
      <c r="AI25" s="108"/>
      <c r="AJ25" s="614" t="s">
        <v>9</v>
      </c>
      <c r="AK25" s="103"/>
      <c r="AL25" s="103" t="s">
        <v>8</v>
      </c>
      <c r="AM25" s="211">
        <v>150</v>
      </c>
      <c r="AN25" s="235"/>
    </row>
    <row r="26" spans="1:42" ht="18.600000000000001" customHeight="1" x14ac:dyDescent="0.25">
      <c r="A26" s="510">
        <v>17847</v>
      </c>
      <c r="B26" s="23">
        <v>3346574</v>
      </c>
      <c r="C26" s="484" t="s">
        <v>70</v>
      </c>
      <c r="D26" s="485" t="s">
        <v>18</v>
      </c>
      <c r="E26" s="74" t="s">
        <v>137</v>
      </c>
      <c r="F26" s="78">
        <v>36</v>
      </c>
      <c r="G26" s="528">
        <v>13</v>
      </c>
      <c r="H26" s="103" t="s">
        <v>8</v>
      </c>
      <c r="I26" s="103"/>
      <c r="J26" s="103"/>
      <c r="K26" s="614" t="s">
        <v>9</v>
      </c>
      <c r="L26" s="108"/>
      <c r="M26" s="215" t="s">
        <v>8</v>
      </c>
      <c r="N26" s="108"/>
      <c r="O26" s="108"/>
      <c r="P26" s="103" t="s">
        <v>9</v>
      </c>
      <c r="Q26" s="103"/>
      <c r="R26" s="108" t="s">
        <v>8</v>
      </c>
      <c r="S26" s="108"/>
      <c r="T26" s="108"/>
      <c r="U26" s="108" t="s">
        <v>9</v>
      </c>
      <c r="V26" s="108"/>
      <c r="W26" s="614" t="s">
        <v>8</v>
      </c>
      <c r="X26" s="103"/>
      <c r="Y26" s="108"/>
      <c r="Z26" s="108" t="s">
        <v>9</v>
      </c>
      <c r="AA26" s="108"/>
      <c r="AB26" s="215" t="s">
        <v>8</v>
      </c>
      <c r="AC26" s="108"/>
      <c r="AD26" s="103"/>
      <c r="AE26" s="103" t="s">
        <v>9</v>
      </c>
      <c r="AF26" s="108"/>
      <c r="AG26" s="108" t="s">
        <v>8</v>
      </c>
      <c r="AH26" s="108"/>
      <c r="AI26" s="108"/>
      <c r="AJ26" s="108" t="s">
        <v>96</v>
      </c>
      <c r="AK26" s="103"/>
      <c r="AL26" s="614" t="s">
        <v>8</v>
      </c>
      <c r="AM26" s="211">
        <v>150</v>
      </c>
      <c r="AN26" s="235"/>
    </row>
    <row r="27" spans="1:42" ht="18.600000000000001" customHeight="1" x14ac:dyDescent="0.25">
      <c r="A27" s="511">
        <v>17819</v>
      </c>
      <c r="B27" s="26">
        <v>1481030</v>
      </c>
      <c r="C27" s="484" t="s">
        <v>49</v>
      </c>
      <c r="D27" s="485" t="s">
        <v>18</v>
      </c>
      <c r="E27" s="74" t="s">
        <v>137</v>
      </c>
      <c r="F27" s="78">
        <v>36</v>
      </c>
      <c r="G27" s="528">
        <v>13</v>
      </c>
      <c r="H27" s="103" t="s">
        <v>8</v>
      </c>
      <c r="I27" s="103"/>
      <c r="J27" s="103"/>
      <c r="K27" s="108" t="s">
        <v>96</v>
      </c>
      <c r="L27" s="108"/>
      <c r="M27" s="614" t="s">
        <v>8</v>
      </c>
      <c r="N27" s="108"/>
      <c r="O27" s="108" t="s">
        <v>9</v>
      </c>
      <c r="P27" s="103"/>
      <c r="Q27" s="215" t="s">
        <v>8</v>
      </c>
      <c r="R27" s="108"/>
      <c r="S27" s="108"/>
      <c r="T27" s="108"/>
      <c r="U27" s="108" t="s">
        <v>9</v>
      </c>
      <c r="V27" s="108"/>
      <c r="W27" s="103" t="s">
        <v>9</v>
      </c>
      <c r="X27" s="103"/>
      <c r="Y27" s="108"/>
      <c r="Z27" s="614" t="s">
        <v>9</v>
      </c>
      <c r="AA27" s="108"/>
      <c r="AB27" s="108" t="s">
        <v>8</v>
      </c>
      <c r="AC27" s="108"/>
      <c r="AD27" s="103"/>
      <c r="AE27" s="103" t="s">
        <v>9</v>
      </c>
      <c r="AF27" s="108"/>
      <c r="AG27" s="108" t="s">
        <v>8</v>
      </c>
      <c r="AH27" s="108"/>
      <c r="AI27" s="108"/>
      <c r="AJ27" s="215" t="s">
        <v>9</v>
      </c>
      <c r="AK27" s="103"/>
      <c r="AL27" s="103" t="s">
        <v>8</v>
      </c>
      <c r="AM27" s="211">
        <v>150</v>
      </c>
      <c r="AN27" s="235"/>
    </row>
    <row r="28" spans="1:42" ht="18.600000000000001" customHeight="1" x14ac:dyDescent="0.25">
      <c r="A28" s="511">
        <v>17831</v>
      </c>
      <c r="B28" s="26">
        <v>1040787</v>
      </c>
      <c r="C28" s="484" t="s">
        <v>23</v>
      </c>
      <c r="D28" s="485" t="s">
        <v>18</v>
      </c>
      <c r="E28" s="74" t="s">
        <v>137</v>
      </c>
      <c r="F28" s="78">
        <v>36</v>
      </c>
      <c r="G28" s="528">
        <v>13</v>
      </c>
      <c r="H28" s="103" t="s">
        <v>96</v>
      </c>
      <c r="I28" s="103"/>
      <c r="J28" s="103"/>
      <c r="K28" s="108" t="s">
        <v>9</v>
      </c>
      <c r="L28" s="108"/>
      <c r="M28" s="108" t="s">
        <v>9</v>
      </c>
      <c r="N28" s="108"/>
      <c r="O28" s="108"/>
      <c r="P28" s="614" t="s">
        <v>9</v>
      </c>
      <c r="Q28" s="103"/>
      <c r="R28" s="215" t="s">
        <v>8</v>
      </c>
      <c r="S28" s="108"/>
      <c r="T28" s="108"/>
      <c r="U28" s="614" t="s">
        <v>9</v>
      </c>
      <c r="V28" s="108"/>
      <c r="W28" s="103" t="s">
        <v>8</v>
      </c>
      <c r="X28" s="103"/>
      <c r="Y28" s="108"/>
      <c r="Z28" s="108" t="s">
        <v>9</v>
      </c>
      <c r="AA28" s="108"/>
      <c r="AB28" s="108" t="s">
        <v>8</v>
      </c>
      <c r="AC28" s="108"/>
      <c r="AD28" s="103"/>
      <c r="AE28" s="215" t="s">
        <v>9</v>
      </c>
      <c r="AF28" s="108"/>
      <c r="AG28" s="108" t="s">
        <v>8</v>
      </c>
      <c r="AH28" s="108"/>
      <c r="AI28" s="108"/>
      <c r="AJ28" s="108" t="s">
        <v>9</v>
      </c>
      <c r="AK28" s="103"/>
      <c r="AL28" s="103" t="s">
        <v>8</v>
      </c>
      <c r="AM28" s="211">
        <v>150</v>
      </c>
      <c r="AN28" s="235"/>
    </row>
    <row r="29" spans="1:42" ht="18.600000000000001" customHeight="1" x14ac:dyDescent="0.25">
      <c r="A29" s="510">
        <v>17867</v>
      </c>
      <c r="B29" s="23">
        <v>573710</v>
      </c>
      <c r="C29" s="484" t="s">
        <v>51</v>
      </c>
      <c r="D29" s="485" t="s">
        <v>18</v>
      </c>
      <c r="E29" s="74" t="s">
        <v>137</v>
      </c>
      <c r="F29" s="78">
        <v>36</v>
      </c>
      <c r="G29" s="528">
        <v>13</v>
      </c>
      <c r="H29" s="103"/>
      <c r="I29" s="103"/>
      <c r="J29" s="215" t="s">
        <v>9</v>
      </c>
      <c r="K29" s="108"/>
      <c r="L29" s="108" t="s">
        <v>8</v>
      </c>
      <c r="M29" s="108" t="s">
        <v>96</v>
      </c>
      <c r="N29" s="108"/>
      <c r="O29" s="108"/>
      <c r="P29" s="215" t="s">
        <v>9</v>
      </c>
      <c r="Q29" s="103"/>
      <c r="R29" s="108" t="s">
        <v>9</v>
      </c>
      <c r="S29" s="108"/>
      <c r="T29" s="108"/>
      <c r="U29" s="108" t="s">
        <v>9</v>
      </c>
      <c r="V29" s="108"/>
      <c r="W29" s="103" t="s">
        <v>8</v>
      </c>
      <c r="X29" s="103"/>
      <c r="Y29" s="108"/>
      <c r="Z29" s="215" t="s">
        <v>9</v>
      </c>
      <c r="AA29" s="108"/>
      <c r="AB29" s="108" t="s">
        <v>8</v>
      </c>
      <c r="AC29" s="108"/>
      <c r="AD29" s="103"/>
      <c r="AE29" s="103" t="s">
        <v>9</v>
      </c>
      <c r="AF29" s="108"/>
      <c r="AG29" s="614" t="s">
        <v>8</v>
      </c>
      <c r="AH29" s="108"/>
      <c r="AI29" s="108"/>
      <c r="AJ29" s="108" t="s">
        <v>9</v>
      </c>
      <c r="AK29" s="103"/>
      <c r="AL29" s="103" t="s">
        <v>8</v>
      </c>
      <c r="AM29" s="211">
        <v>150</v>
      </c>
      <c r="AN29" s="235"/>
    </row>
    <row r="30" spans="1:42" ht="18.600000000000001" customHeight="1" x14ac:dyDescent="0.3">
      <c r="A30" s="509">
        <v>1183</v>
      </c>
      <c r="B30" s="524"/>
      <c r="C30" s="439" t="s">
        <v>83</v>
      </c>
      <c r="D30" s="76" t="s">
        <v>18</v>
      </c>
      <c r="E30" s="74" t="s">
        <v>138</v>
      </c>
      <c r="F30" s="78">
        <v>36</v>
      </c>
      <c r="G30" s="528">
        <v>13</v>
      </c>
      <c r="H30" s="103"/>
      <c r="I30" s="215" t="s">
        <v>9</v>
      </c>
      <c r="J30" s="103"/>
      <c r="K30" s="108" t="s">
        <v>8</v>
      </c>
      <c r="L30" s="108"/>
      <c r="M30" s="108"/>
      <c r="N30" s="614" t="s">
        <v>9</v>
      </c>
      <c r="O30" s="108"/>
      <c r="P30" s="103" t="s">
        <v>9</v>
      </c>
      <c r="Q30" s="103"/>
      <c r="R30" s="108" t="s">
        <v>8</v>
      </c>
      <c r="S30" s="108"/>
      <c r="T30" s="108"/>
      <c r="U30" s="108" t="s">
        <v>9</v>
      </c>
      <c r="V30" s="108"/>
      <c r="W30" s="103"/>
      <c r="X30" s="215" t="s">
        <v>9</v>
      </c>
      <c r="Y30" s="108"/>
      <c r="Z30" s="108" t="s">
        <v>8</v>
      </c>
      <c r="AA30" s="108"/>
      <c r="AB30" s="108"/>
      <c r="AC30" s="108" t="s">
        <v>9</v>
      </c>
      <c r="AD30" s="103"/>
      <c r="AE30" s="614" t="s">
        <v>8</v>
      </c>
      <c r="AF30" s="108"/>
      <c r="AG30" s="108"/>
      <c r="AH30" s="108" t="s">
        <v>9</v>
      </c>
      <c r="AI30" s="108"/>
      <c r="AJ30" s="108" t="s">
        <v>8</v>
      </c>
      <c r="AK30" s="103"/>
      <c r="AL30" s="103" t="s">
        <v>136</v>
      </c>
      <c r="AM30" s="211">
        <v>150</v>
      </c>
      <c r="AN30" s="235"/>
    </row>
    <row r="31" spans="1:42" ht="18.600000000000001" customHeight="1" x14ac:dyDescent="0.3">
      <c r="A31" s="509">
        <v>1235</v>
      </c>
      <c r="B31" s="524">
        <v>475428</v>
      </c>
      <c r="C31" s="439" t="s">
        <v>28</v>
      </c>
      <c r="D31" s="76" t="s">
        <v>18</v>
      </c>
      <c r="E31" s="74" t="s">
        <v>138</v>
      </c>
      <c r="F31" s="78">
        <v>36</v>
      </c>
      <c r="G31" s="528">
        <v>13</v>
      </c>
      <c r="H31" s="103"/>
      <c r="I31" s="614" t="s">
        <v>9</v>
      </c>
      <c r="J31" s="103"/>
      <c r="K31" s="108" t="s">
        <v>8</v>
      </c>
      <c r="L31" s="108"/>
      <c r="M31" s="108"/>
      <c r="N31" s="215" t="s">
        <v>9</v>
      </c>
      <c r="O31" s="108"/>
      <c r="P31" s="103" t="s">
        <v>8</v>
      </c>
      <c r="Q31" s="103"/>
      <c r="R31" s="108"/>
      <c r="S31" s="108" t="s">
        <v>9</v>
      </c>
      <c r="T31" s="108"/>
      <c r="U31" s="614" t="s">
        <v>8</v>
      </c>
      <c r="V31" s="108"/>
      <c r="W31" s="103"/>
      <c r="X31" s="103" t="s">
        <v>9</v>
      </c>
      <c r="Y31" s="108"/>
      <c r="Z31" s="108" t="s">
        <v>8</v>
      </c>
      <c r="AA31" s="108"/>
      <c r="AB31" s="108"/>
      <c r="AC31" s="215" t="s">
        <v>9</v>
      </c>
      <c r="AD31" s="103"/>
      <c r="AE31" s="103" t="s">
        <v>8</v>
      </c>
      <c r="AF31" s="108"/>
      <c r="AG31" s="108"/>
      <c r="AH31" s="108" t="s">
        <v>9</v>
      </c>
      <c r="AI31" s="108"/>
      <c r="AJ31" s="108" t="s">
        <v>8</v>
      </c>
      <c r="AK31" s="103"/>
      <c r="AL31" s="103" t="s">
        <v>136</v>
      </c>
      <c r="AM31" s="211">
        <v>150</v>
      </c>
      <c r="AN31" s="235"/>
    </row>
    <row r="32" spans="1:42" ht="18.600000000000001" customHeight="1" x14ac:dyDescent="0.3">
      <c r="A32" s="509">
        <v>11102</v>
      </c>
      <c r="B32" s="524"/>
      <c r="C32" s="439" t="s">
        <v>30</v>
      </c>
      <c r="D32" s="157" t="s">
        <v>18</v>
      </c>
      <c r="E32" s="74" t="s">
        <v>138</v>
      </c>
      <c r="F32" s="78">
        <v>36</v>
      </c>
      <c r="G32" s="528">
        <v>13</v>
      </c>
      <c r="H32" s="103"/>
      <c r="I32" s="103" t="s">
        <v>9</v>
      </c>
      <c r="J32" s="103"/>
      <c r="K32" s="215" t="s">
        <v>8</v>
      </c>
      <c r="L32" s="108"/>
      <c r="M32" s="108"/>
      <c r="N32" s="108" t="s">
        <v>9</v>
      </c>
      <c r="O32" s="108"/>
      <c r="P32" s="103" t="s">
        <v>9</v>
      </c>
      <c r="Q32" s="103"/>
      <c r="R32" s="108"/>
      <c r="S32" s="108" t="s">
        <v>9</v>
      </c>
      <c r="T32" s="108"/>
      <c r="U32" s="108" t="s">
        <v>8</v>
      </c>
      <c r="V32" s="108"/>
      <c r="W32" s="103"/>
      <c r="X32" s="614" t="s">
        <v>9</v>
      </c>
      <c r="Y32" s="108"/>
      <c r="Z32" s="108" t="s">
        <v>8</v>
      </c>
      <c r="AA32" s="108"/>
      <c r="AB32" s="108"/>
      <c r="AC32" s="614" t="s">
        <v>9</v>
      </c>
      <c r="AD32" s="103"/>
      <c r="AE32" s="103" t="s">
        <v>8</v>
      </c>
      <c r="AF32" s="108"/>
      <c r="AG32" s="108"/>
      <c r="AH32" s="614" t="s">
        <v>9</v>
      </c>
      <c r="AI32" s="108"/>
      <c r="AJ32" s="108" t="s">
        <v>8</v>
      </c>
      <c r="AK32" s="103"/>
      <c r="AL32" s="103" t="s">
        <v>136</v>
      </c>
      <c r="AM32" s="211">
        <v>150</v>
      </c>
      <c r="AN32" s="235"/>
    </row>
    <row r="33" spans="1:40" ht="18.600000000000001" customHeight="1" x14ac:dyDescent="0.3">
      <c r="A33" s="509">
        <v>1181</v>
      </c>
      <c r="B33" s="524">
        <v>1256897</v>
      </c>
      <c r="C33" s="439" t="s">
        <v>29</v>
      </c>
      <c r="D33" s="157" t="s">
        <v>18</v>
      </c>
      <c r="E33" s="74" t="s">
        <v>138</v>
      </c>
      <c r="F33" s="78">
        <v>36</v>
      </c>
      <c r="G33" s="528">
        <v>13</v>
      </c>
      <c r="H33" s="103"/>
      <c r="I33" s="103" t="s">
        <v>9</v>
      </c>
      <c r="J33" s="103"/>
      <c r="K33" s="614" t="s">
        <v>8</v>
      </c>
      <c r="L33" s="108"/>
      <c r="M33" s="108"/>
      <c r="N33" s="108" t="s">
        <v>9</v>
      </c>
      <c r="O33" s="108"/>
      <c r="P33" s="103"/>
      <c r="Q33" s="103" t="s">
        <v>8</v>
      </c>
      <c r="R33" s="108"/>
      <c r="S33" s="215" t="s">
        <v>9</v>
      </c>
      <c r="T33" s="108"/>
      <c r="U33" s="108"/>
      <c r="V33" s="614" t="s">
        <v>8</v>
      </c>
      <c r="W33" s="103"/>
      <c r="X33" s="103"/>
      <c r="Y33" s="108" t="s">
        <v>9</v>
      </c>
      <c r="Z33" s="108"/>
      <c r="AA33" s="108" t="s">
        <v>9</v>
      </c>
      <c r="AB33" s="108"/>
      <c r="AC33" s="108"/>
      <c r="AD33" s="103" t="s">
        <v>9</v>
      </c>
      <c r="AE33" s="103"/>
      <c r="AF33" s="215" t="s">
        <v>8</v>
      </c>
      <c r="AG33" s="108" t="s">
        <v>96</v>
      </c>
      <c r="AH33" s="108"/>
      <c r="AI33" s="108" t="s">
        <v>9</v>
      </c>
      <c r="AJ33" s="108"/>
      <c r="AK33" s="103"/>
      <c r="AL33" s="614" t="s">
        <v>9</v>
      </c>
      <c r="AM33" s="211">
        <v>150</v>
      </c>
      <c r="AN33" s="235"/>
    </row>
    <row r="34" spans="1:40" ht="18.600000000000001" customHeight="1" x14ac:dyDescent="0.3">
      <c r="A34" s="509">
        <v>11103</v>
      </c>
      <c r="B34" s="524">
        <v>1256875</v>
      </c>
      <c r="C34" s="439" t="s">
        <v>31</v>
      </c>
      <c r="D34" s="157" t="s">
        <v>18</v>
      </c>
      <c r="E34" s="74" t="s">
        <v>138</v>
      </c>
      <c r="F34" s="78">
        <v>36</v>
      </c>
      <c r="G34" s="528">
        <v>13</v>
      </c>
      <c r="H34" s="103"/>
      <c r="I34" s="103" t="s">
        <v>9</v>
      </c>
      <c r="J34" s="103"/>
      <c r="K34" s="108" t="s">
        <v>8</v>
      </c>
      <c r="L34" s="108"/>
      <c r="M34" s="108"/>
      <c r="N34" s="108" t="s">
        <v>9</v>
      </c>
      <c r="O34" s="108"/>
      <c r="P34" s="215" t="s">
        <v>8</v>
      </c>
      <c r="Q34" s="103"/>
      <c r="R34" s="108"/>
      <c r="S34" s="614" t="s">
        <v>9</v>
      </c>
      <c r="T34" s="108"/>
      <c r="U34" s="108" t="s">
        <v>8</v>
      </c>
      <c r="V34" s="108"/>
      <c r="W34" s="103"/>
      <c r="X34" s="103" t="s">
        <v>9</v>
      </c>
      <c r="Y34" s="108"/>
      <c r="Z34" s="215" t="s">
        <v>8</v>
      </c>
      <c r="AA34" s="108" t="s">
        <v>96</v>
      </c>
      <c r="AB34" s="108"/>
      <c r="AC34" s="108" t="s">
        <v>9</v>
      </c>
      <c r="AD34" s="103"/>
      <c r="AE34" s="103" t="s">
        <v>8</v>
      </c>
      <c r="AF34" s="108"/>
      <c r="AG34" s="108"/>
      <c r="AH34" s="108" t="s">
        <v>9</v>
      </c>
      <c r="AI34" s="108"/>
      <c r="AJ34" s="215" t="s">
        <v>8</v>
      </c>
      <c r="AK34" s="103"/>
      <c r="AL34" s="103"/>
      <c r="AM34" s="211">
        <v>150</v>
      </c>
      <c r="AN34" s="235"/>
    </row>
    <row r="35" spans="1:40" ht="18.600000000000001" customHeight="1" x14ac:dyDescent="0.3">
      <c r="A35" s="509">
        <v>1121</v>
      </c>
      <c r="B35" s="524"/>
      <c r="C35" s="439" t="s">
        <v>34</v>
      </c>
      <c r="D35" s="157" t="s">
        <v>18</v>
      </c>
      <c r="E35" s="74" t="s">
        <v>138</v>
      </c>
      <c r="F35" s="78">
        <v>36</v>
      </c>
      <c r="G35" s="528">
        <v>13</v>
      </c>
      <c r="H35" s="103"/>
      <c r="I35" s="103" t="s">
        <v>9</v>
      </c>
      <c r="J35" s="103"/>
      <c r="K35" s="108" t="s">
        <v>8</v>
      </c>
      <c r="L35" s="108"/>
      <c r="M35" s="108"/>
      <c r="N35" s="108" t="s">
        <v>9</v>
      </c>
      <c r="O35" s="108"/>
      <c r="P35" s="614" t="s">
        <v>8</v>
      </c>
      <c r="Q35" s="103" t="s">
        <v>96</v>
      </c>
      <c r="R35" s="108"/>
      <c r="S35" s="108" t="s">
        <v>9</v>
      </c>
      <c r="T35" s="108"/>
      <c r="U35" s="215" t="s">
        <v>8</v>
      </c>
      <c r="V35" s="108"/>
      <c r="W35" s="103"/>
      <c r="X35" s="103" t="s">
        <v>9</v>
      </c>
      <c r="Y35" s="108"/>
      <c r="Z35" s="614" t="s">
        <v>8</v>
      </c>
      <c r="AA35" s="108"/>
      <c r="AB35" s="108"/>
      <c r="AC35" s="108" t="s">
        <v>9</v>
      </c>
      <c r="AD35" s="103"/>
      <c r="AE35" s="215" t="s">
        <v>8</v>
      </c>
      <c r="AF35" s="108"/>
      <c r="AG35" s="108"/>
      <c r="AH35" s="108" t="s">
        <v>9</v>
      </c>
      <c r="AI35" s="108"/>
      <c r="AJ35" s="108" t="s">
        <v>8</v>
      </c>
      <c r="AK35" s="103"/>
      <c r="AL35" s="103"/>
      <c r="AM35" s="211">
        <v>150</v>
      </c>
      <c r="AN35" s="235"/>
    </row>
    <row r="36" spans="1:40" ht="18.600000000000001" customHeight="1" x14ac:dyDescent="0.25">
      <c r="A36" s="53"/>
      <c r="B36" s="23">
        <v>937898</v>
      </c>
      <c r="C36" s="497" t="s">
        <v>118</v>
      </c>
      <c r="D36" s="485" t="s">
        <v>18</v>
      </c>
      <c r="E36" s="74" t="s">
        <v>137</v>
      </c>
      <c r="F36" s="78">
        <v>36</v>
      </c>
      <c r="G36" s="528">
        <v>13</v>
      </c>
      <c r="H36" s="103"/>
      <c r="I36" s="215" t="s">
        <v>9</v>
      </c>
      <c r="J36" s="103"/>
      <c r="K36" s="108" t="s">
        <v>8</v>
      </c>
      <c r="L36" s="108"/>
      <c r="M36" s="108"/>
      <c r="N36" s="614" t="s">
        <v>9</v>
      </c>
      <c r="O36" s="108"/>
      <c r="P36" s="103" t="s">
        <v>8</v>
      </c>
      <c r="Q36" s="103"/>
      <c r="R36" s="108"/>
      <c r="S36" s="108" t="s">
        <v>9</v>
      </c>
      <c r="T36" s="108"/>
      <c r="U36" s="108" t="s">
        <v>8</v>
      </c>
      <c r="V36" s="108" t="s">
        <v>96</v>
      </c>
      <c r="W36" s="103"/>
      <c r="X36" s="103" t="s">
        <v>9</v>
      </c>
      <c r="Y36" s="108"/>
      <c r="Z36" s="108" t="s">
        <v>8</v>
      </c>
      <c r="AA36" s="108"/>
      <c r="AB36" s="108"/>
      <c r="AC36" s="108" t="s">
        <v>9</v>
      </c>
      <c r="AD36" s="103"/>
      <c r="AE36" s="103" t="s">
        <v>8</v>
      </c>
      <c r="AF36" s="108"/>
      <c r="AG36" s="108"/>
      <c r="AH36" s="215" t="s">
        <v>9</v>
      </c>
      <c r="AI36" s="108"/>
      <c r="AJ36" s="614" t="s">
        <v>8</v>
      </c>
      <c r="AK36" s="103"/>
      <c r="AL36" s="103"/>
      <c r="AM36" s="211">
        <v>150</v>
      </c>
      <c r="AN36" s="235"/>
    </row>
    <row r="37" spans="1:40" ht="18.600000000000001" customHeight="1" x14ac:dyDescent="0.25">
      <c r="A37" s="512">
        <v>17829</v>
      </c>
      <c r="B37" s="26">
        <v>1124059</v>
      </c>
      <c r="C37" s="484" t="s">
        <v>53</v>
      </c>
      <c r="D37" s="485" t="s">
        <v>18</v>
      </c>
      <c r="E37" s="74" t="s">
        <v>137</v>
      </c>
      <c r="F37" s="78">
        <v>36</v>
      </c>
      <c r="G37" s="528">
        <v>13</v>
      </c>
      <c r="H37" s="103"/>
      <c r="I37" s="614" t="s">
        <v>9</v>
      </c>
      <c r="J37" s="103"/>
      <c r="K37" s="108" t="s">
        <v>8</v>
      </c>
      <c r="L37" s="108" t="s">
        <v>96</v>
      </c>
      <c r="M37" s="108"/>
      <c r="N37" s="215" t="s">
        <v>9</v>
      </c>
      <c r="O37" s="108"/>
      <c r="P37" s="103" t="s">
        <v>8</v>
      </c>
      <c r="Q37" s="103"/>
      <c r="R37" s="108"/>
      <c r="S37" s="108" t="s">
        <v>9</v>
      </c>
      <c r="T37" s="108"/>
      <c r="U37" s="108" t="s">
        <v>8</v>
      </c>
      <c r="V37" s="108"/>
      <c r="W37" s="103" t="s">
        <v>9</v>
      </c>
      <c r="X37" s="103"/>
      <c r="Y37" s="614" t="s">
        <v>9</v>
      </c>
      <c r="Z37" s="108"/>
      <c r="AA37" s="108" t="s">
        <v>8</v>
      </c>
      <c r="AB37" s="108"/>
      <c r="AC37" s="108"/>
      <c r="AD37" s="215" t="s">
        <v>9</v>
      </c>
      <c r="AE37" s="103"/>
      <c r="AF37" s="108" t="s">
        <v>9</v>
      </c>
      <c r="AG37" s="108"/>
      <c r="AH37" s="108"/>
      <c r="AI37" s="614" t="s">
        <v>9</v>
      </c>
      <c r="AJ37" s="108"/>
      <c r="AK37" s="103"/>
      <c r="AL37" s="103"/>
      <c r="AM37" s="211">
        <v>150</v>
      </c>
      <c r="AN37" s="235"/>
    </row>
    <row r="38" spans="1:40" s="60" customFormat="1" ht="18.600000000000001" customHeight="1" x14ac:dyDescent="0.25">
      <c r="A38" s="490">
        <v>17832</v>
      </c>
      <c r="B38" s="521">
        <v>998911</v>
      </c>
      <c r="C38" s="484" t="s">
        <v>46</v>
      </c>
      <c r="D38" s="485" t="s">
        <v>18</v>
      </c>
      <c r="E38" s="74" t="s">
        <v>137</v>
      </c>
      <c r="F38" s="78">
        <v>36</v>
      </c>
      <c r="G38" s="528">
        <v>13</v>
      </c>
      <c r="H38" s="103"/>
      <c r="I38" s="103" t="s">
        <v>9</v>
      </c>
      <c r="J38" s="103"/>
      <c r="K38" s="215" t="s">
        <v>8</v>
      </c>
      <c r="L38" s="108"/>
      <c r="M38" s="108"/>
      <c r="N38" s="108" t="s">
        <v>9</v>
      </c>
      <c r="O38" s="108"/>
      <c r="P38" s="103" t="s">
        <v>8</v>
      </c>
      <c r="Q38" s="103"/>
      <c r="R38" s="108"/>
      <c r="S38" s="614" t="s">
        <v>9</v>
      </c>
      <c r="T38" s="108"/>
      <c r="U38" s="108" t="s">
        <v>8</v>
      </c>
      <c r="V38" s="108"/>
      <c r="W38" s="103"/>
      <c r="X38" s="103" t="s">
        <v>9</v>
      </c>
      <c r="Y38" s="108"/>
      <c r="Z38" s="108" t="s">
        <v>8</v>
      </c>
      <c r="AA38" s="108"/>
      <c r="AB38" s="108"/>
      <c r="AC38" s="614" t="s">
        <v>9</v>
      </c>
      <c r="AD38" s="103"/>
      <c r="AE38" s="103" t="s">
        <v>8</v>
      </c>
      <c r="AF38" s="108" t="s">
        <v>96</v>
      </c>
      <c r="AG38" s="108"/>
      <c r="AH38" s="215" t="s">
        <v>9</v>
      </c>
      <c r="AI38" s="108"/>
      <c r="AJ38" s="108" t="s">
        <v>8</v>
      </c>
      <c r="AK38" s="103"/>
      <c r="AL38" s="103"/>
      <c r="AM38" s="211">
        <v>150</v>
      </c>
    </row>
    <row r="39" spans="1:40" s="60" customFormat="1" ht="18.600000000000001" customHeight="1" x14ac:dyDescent="0.25">
      <c r="A39" s="512">
        <v>11100</v>
      </c>
      <c r="B39" s="26">
        <v>932790</v>
      </c>
      <c r="C39" s="484" t="s">
        <v>57</v>
      </c>
      <c r="D39" s="485" t="s">
        <v>18</v>
      </c>
      <c r="E39" s="74" t="s">
        <v>137</v>
      </c>
      <c r="F39" s="78">
        <v>36</v>
      </c>
      <c r="G39" s="528">
        <v>13</v>
      </c>
      <c r="H39" s="103"/>
      <c r="I39" s="103" t="s">
        <v>9</v>
      </c>
      <c r="J39" s="103"/>
      <c r="K39" s="614" t="s">
        <v>8</v>
      </c>
      <c r="L39" s="108"/>
      <c r="M39" s="108"/>
      <c r="N39" s="108" t="s">
        <v>9</v>
      </c>
      <c r="O39" s="108"/>
      <c r="P39" s="103" t="s">
        <v>8</v>
      </c>
      <c r="Q39" s="103"/>
      <c r="R39" s="108"/>
      <c r="S39" s="215" t="s">
        <v>9</v>
      </c>
      <c r="T39" s="108"/>
      <c r="U39" s="108" t="s">
        <v>9</v>
      </c>
      <c r="V39" s="108"/>
      <c r="W39" s="103"/>
      <c r="X39" s="103" t="s">
        <v>9</v>
      </c>
      <c r="Y39" s="108"/>
      <c r="Z39" s="614" t="s">
        <v>8</v>
      </c>
      <c r="AA39" s="108"/>
      <c r="AB39" s="108"/>
      <c r="AC39" s="108" t="s">
        <v>9</v>
      </c>
      <c r="AD39" s="103"/>
      <c r="AE39" s="215" t="s">
        <v>8</v>
      </c>
      <c r="AF39" s="108"/>
      <c r="AG39" s="108"/>
      <c r="AH39" s="108" t="s">
        <v>9</v>
      </c>
      <c r="AI39" s="108"/>
      <c r="AJ39" s="614" t="s">
        <v>8</v>
      </c>
      <c r="AK39" s="103" t="s">
        <v>96</v>
      </c>
      <c r="AL39" s="103"/>
      <c r="AM39" s="211">
        <v>150</v>
      </c>
    </row>
    <row r="40" spans="1:40" s="60" customFormat="1" ht="18.600000000000001" customHeight="1" x14ac:dyDescent="0.25">
      <c r="A40" s="512">
        <v>12840</v>
      </c>
      <c r="B40" s="26">
        <v>1802444</v>
      </c>
      <c r="C40" s="498" t="s">
        <v>38</v>
      </c>
      <c r="D40" s="487" t="s">
        <v>39</v>
      </c>
      <c r="E40" s="74" t="s">
        <v>137</v>
      </c>
      <c r="F40" s="78">
        <v>36</v>
      </c>
      <c r="G40" s="528">
        <v>13</v>
      </c>
      <c r="H40" s="103"/>
      <c r="I40" s="103" t="s">
        <v>9</v>
      </c>
      <c r="J40" s="103"/>
      <c r="K40" s="108" t="s">
        <v>9</v>
      </c>
      <c r="L40" s="108"/>
      <c r="M40" s="108"/>
      <c r="N40" s="108" t="s">
        <v>9</v>
      </c>
      <c r="O40" s="108"/>
      <c r="P40" s="215" t="s">
        <v>8</v>
      </c>
      <c r="Q40" s="103"/>
      <c r="R40" s="108"/>
      <c r="S40" s="108" t="s">
        <v>9</v>
      </c>
      <c r="T40" s="108"/>
      <c r="U40" s="614" t="s">
        <v>8</v>
      </c>
      <c r="V40" s="108"/>
      <c r="W40" s="103"/>
      <c r="X40" s="103" t="s">
        <v>9</v>
      </c>
      <c r="Y40" s="108"/>
      <c r="Z40" s="215" t="s">
        <v>8</v>
      </c>
      <c r="AA40" s="108"/>
      <c r="AB40" s="108"/>
      <c r="AC40" s="108" t="s">
        <v>9</v>
      </c>
      <c r="AD40" s="103"/>
      <c r="AE40" s="614" t="s">
        <v>8</v>
      </c>
      <c r="AF40" s="108" t="s">
        <v>96</v>
      </c>
      <c r="AG40" s="108"/>
      <c r="AH40" s="108" t="s">
        <v>9</v>
      </c>
      <c r="AI40" s="108"/>
      <c r="AJ40" s="215" t="s">
        <v>8</v>
      </c>
      <c r="AK40" s="103"/>
      <c r="AL40" s="103"/>
      <c r="AM40" s="211">
        <v>150</v>
      </c>
    </row>
    <row r="41" spans="1:40" s="60" customFormat="1" ht="18.600000000000001" customHeight="1" x14ac:dyDescent="0.25">
      <c r="A41" s="512">
        <v>12839</v>
      </c>
      <c r="B41" s="26">
        <v>536537</v>
      </c>
      <c r="C41" s="498" t="s">
        <v>72</v>
      </c>
      <c r="D41" s="487" t="s">
        <v>39</v>
      </c>
      <c r="E41" s="74" t="s">
        <v>137</v>
      </c>
      <c r="F41" s="78">
        <v>36</v>
      </c>
      <c r="G41" s="528">
        <v>13</v>
      </c>
      <c r="H41" s="103"/>
      <c r="I41" s="103" t="s">
        <v>9</v>
      </c>
      <c r="J41" s="103"/>
      <c r="K41" s="108"/>
      <c r="L41" s="215" t="s">
        <v>8</v>
      </c>
      <c r="M41" s="108"/>
      <c r="N41" s="108" t="s">
        <v>9</v>
      </c>
      <c r="O41" s="108"/>
      <c r="P41" s="614" t="s">
        <v>8</v>
      </c>
      <c r="Q41" s="103" t="s">
        <v>96</v>
      </c>
      <c r="R41" s="108"/>
      <c r="S41" s="108" t="s">
        <v>9</v>
      </c>
      <c r="T41" s="108"/>
      <c r="U41" s="108" t="s">
        <v>8</v>
      </c>
      <c r="V41" s="108"/>
      <c r="W41" s="103"/>
      <c r="X41" s="614" t="s">
        <v>9</v>
      </c>
      <c r="Y41" s="108"/>
      <c r="Z41" s="108" t="s">
        <v>8</v>
      </c>
      <c r="AA41" s="108"/>
      <c r="AB41" s="108"/>
      <c r="AC41" s="215" t="s">
        <v>9</v>
      </c>
      <c r="AD41" s="103"/>
      <c r="AE41" s="103" t="s">
        <v>8</v>
      </c>
      <c r="AF41" s="108"/>
      <c r="AG41" s="108"/>
      <c r="AH41" s="614" t="s">
        <v>9</v>
      </c>
      <c r="AI41" s="108"/>
      <c r="AJ41" s="108" t="s">
        <v>8</v>
      </c>
      <c r="AK41" s="103"/>
      <c r="AL41" s="103"/>
      <c r="AM41" s="211">
        <v>150</v>
      </c>
    </row>
    <row r="42" spans="1:40" s="60" customFormat="1" ht="18.600000000000001" customHeight="1" x14ac:dyDescent="0.3">
      <c r="A42" s="139">
        <v>12856</v>
      </c>
      <c r="B42" s="524">
        <v>464434</v>
      </c>
      <c r="C42" s="439" t="s">
        <v>36</v>
      </c>
      <c r="D42" s="157" t="s">
        <v>18</v>
      </c>
      <c r="E42" s="74" t="s">
        <v>138</v>
      </c>
      <c r="F42" s="78">
        <v>36</v>
      </c>
      <c r="G42" s="528">
        <v>13</v>
      </c>
      <c r="H42" s="103"/>
      <c r="I42" s="215" t="s">
        <v>8</v>
      </c>
      <c r="J42" s="103" t="s">
        <v>96</v>
      </c>
      <c r="K42" s="108"/>
      <c r="L42" s="108" t="s">
        <v>9</v>
      </c>
      <c r="M42" s="108"/>
      <c r="N42" s="108" t="s">
        <v>8</v>
      </c>
      <c r="O42" s="108"/>
      <c r="P42" s="103"/>
      <c r="Q42" s="614" t="s">
        <v>9</v>
      </c>
      <c r="R42" s="108"/>
      <c r="S42" s="108" t="s">
        <v>8</v>
      </c>
      <c r="T42" s="108"/>
      <c r="U42" s="108"/>
      <c r="V42" s="108" t="s">
        <v>9</v>
      </c>
      <c r="W42" s="103"/>
      <c r="X42" s="103" t="s">
        <v>8</v>
      </c>
      <c r="Y42" s="108"/>
      <c r="Z42" s="108"/>
      <c r="AA42" s="215" t="s">
        <v>9</v>
      </c>
      <c r="AB42" s="108"/>
      <c r="AC42" s="108" t="s">
        <v>8</v>
      </c>
      <c r="AD42" s="103"/>
      <c r="AE42" s="103"/>
      <c r="AF42" s="614" t="s">
        <v>9</v>
      </c>
      <c r="AG42" s="108"/>
      <c r="AH42" s="108" t="s">
        <v>9</v>
      </c>
      <c r="AI42" s="108"/>
      <c r="AJ42" s="108"/>
      <c r="AK42" s="103" t="s">
        <v>9</v>
      </c>
      <c r="AL42" s="103"/>
      <c r="AM42" s="211">
        <v>150</v>
      </c>
    </row>
    <row r="43" spans="1:40" s="60" customFormat="1" ht="18.600000000000001" customHeight="1" x14ac:dyDescent="0.3">
      <c r="A43" s="139">
        <v>1126</v>
      </c>
      <c r="B43" s="524"/>
      <c r="C43" s="439" t="s">
        <v>65</v>
      </c>
      <c r="D43" s="157" t="s">
        <v>18</v>
      </c>
      <c r="E43" s="74" t="s">
        <v>138</v>
      </c>
      <c r="F43" s="78">
        <v>36</v>
      </c>
      <c r="G43" s="528">
        <v>13</v>
      </c>
      <c r="H43" s="103"/>
      <c r="I43" s="103" t="s">
        <v>8</v>
      </c>
      <c r="J43" s="103"/>
      <c r="K43" s="108"/>
      <c r="L43" s="108" t="s">
        <v>9</v>
      </c>
      <c r="M43" s="108"/>
      <c r="N43" s="108" t="s">
        <v>8</v>
      </c>
      <c r="O43" s="108"/>
      <c r="P43" s="103"/>
      <c r="Q43" s="103" t="s">
        <v>9</v>
      </c>
      <c r="R43" s="108"/>
      <c r="S43" s="215" t="s">
        <v>8</v>
      </c>
      <c r="T43" s="108"/>
      <c r="U43" s="108"/>
      <c r="V43" s="108" t="s">
        <v>9</v>
      </c>
      <c r="W43" s="103"/>
      <c r="X43" s="103" t="s">
        <v>8</v>
      </c>
      <c r="Y43" s="108"/>
      <c r="Z43" s="108"/>
      <c r="AA43" s="614" t="s">
        <v>9</v>
      </c>
      <c r="AB43" s="108"/>
      <c r="AC43" s="108" t="s">
        <v>8</v>
      </c>
      <c r="AD43" s="103"/>
      <c r="AE43" s="103"/>
      <c r="AF43" s="108" t="s">
        <v>9</v>
      </c>
      <c r="AG43" s="108"/>
      <c r="AH43" s="108" t="s">
        <v>8</v>
      </c>
      <c r="AI43" s="108" t="s">
        <v>96</v>
      </c>
      <c r="AJ43" s="108"/>
      <c r="AK43" s="215" t="s">
        <v>9</v>
      </c>
      <c r="AL43" s="103"/>
      <c r="AM43" s="211">
        <v>150</v>
      </c>
    </row>
    <row r="44" spans="1:40" s="60" customFormat="1" ht="18.600000000000001" customHeight="1" x14ac:dyDescent="0.25">
      <c r="A44" s="160">
        <v>17873</v>
      </c>
      <c r="B44" s="525">
        <v>850301</v>
      </c>
      <c r="C44" s="289" t="s">
        <v>80</v>
      </c>
      <c r="D44" s="157" t="s">
        <v>18</v>
      </c>
      <c r="E44" s="74" t="s">
        <v>138</v>
      </c>
      <c r="F44" s="78">
        <v>36</v>
      </c>
      <c r="G44" s="528">
        <v>13</v>
      </c>
      <c r="H44" s="103"/>
      <c r="I44" s="103" t="s">
        <v>8</v>
      </c>
      <c r="J44" s="103"/>
      <c r="K44" s="108"/>
      <c r="L44" s="215" t="s">
        <v>9</v>
      </c>
      <c r="M44" s="108"/>
      <c r="N44" s="108" t="s">
        <v>8</v>
      </c>
      <c r="O44" s="108" t="s">
        <v>96</v>
      </c>
      <c r="P44" s="103"/>
      <c r="Q44" s="103" t="s">
        <v>9</v>
      </c>
      <c r="R44" s="108"/>
      <c r="S44" s="614" t="s">
        <v>8</v>
      </c>
      <c r="T44" s="108"/>
      <c r="U44" s="108"/>
      <c r="V44" s="108" t="s">
        <v>9</v>
      </c>
      <c r="W44" s="103"/>
      <c r="X44" s="103"/>
      <c r="Y44" s="108" t="s">
        <v>8</v>
      </c>
      <c r="Z44" s="108"/>
      <c r="AA44" s="108" t="s">
        <v>9</v>
      </c>
      <c r="AB44" s="108"/>
      <c r="AC44" s="215" t="s">
        <v>8</v>
      </c>
      <c r="AD44" s="103"/>
      <c r="AE44" s="103"/>
      <c r="AF44" s="108" t="s">
        <v>9</v>
      </c>
      <c r="AG44" s="108"/>
      <c r="AH44" s="108"/>
      <c r="AI44" s="614" t="s">
        <v>9</v>
      </c>
      <c r="AJ44" s="108"/>
      <c r="AK44" s="103" t="s">
        <v>9</v>
      </c>
      <c r="AL44" s="103"/>
      <c r="AM44" s="211">
        <v>150</v>
      </c>
    </row>
    <row r="45" spans="1:40" s="60" customFormat="1" ht="18.600000000000001" customHeight="1" x14ac:dyDescent="0.25">
      <c r="A45" s="160">
        <v>1694</v>
      </c>
      <c r="B45" s="525"/>
      <c r="C45" s="289" t="s">
        <v>54</v>
      </c>
      <c r="D45" s="157" t="s">
        <v>18</v>
      </c>
      <c r="E45" s="74" t="s">
        <v>138</v>
      </c>
      <c r="F45" s="78">
        <v>36</v>
      </c>
      <c r="G45" s="528">
        <v>13</v>
      </c>
      <c r="H45" s="103"/>
      <c r="I45" s="103" t="s">
        <v>8</v>
      </c>
      <c r="J45" s="103"/>
      <c r="K45" s="108"/>
      <c r="L45" s="614" t="s">
        <v>9</v>
      </c>
      <c r="M45" s="108"/>
      <c r="N45" s="108" t="s">
        <v>8</v>
      </c>
      <c r="O45" s="108"/>
      <c r="P45" s="103"/>
      <c r="Q45" s="215" t="s">
        <v>9</v>
      </c>
      <c r="R45" s="108"/>
      <c r="S45" s="108" t="s">
        <v>8</v>
      </c>
      <c r="T45" s="108" t="s">
        <v>96</v>
      </c>
      <c r="U45" s="108"/>
      <c r="V45" s="108" t="s">
        <v>9</v>
      </c>
      <c r="W45" s="103"/>
      <c r="X45" s="103" t="s">
        <v>8</v>
      </c>
      <c r="Y45" s="108"/>
      <c r="Z45" s="108"/>
      <c r="AA45" s="108" t="s">
        <v>9</v>
      </c>
      <c r="AB45" s="108"/>
      <c r="AC45" s="614" t="s">
        <v>8</v>
      </c>
      <c r="AD45" s="103"/>
      <c r="AE45" s="103" t="s">
        <v>9</v>
      </c>
      <c r="AF45" s="108"/>
      <c r="AG45" s="215" t="s">
        <v>9</v>
      </c>
      <c r="AH45" s="108"/>
      <c r="AI45" s="108" t="s">
        <v>8</v>
      </c>
      <c r="AJ45" s="108"/>
      <c r="AK45" s="103"/>
      <c r="AL45" s="103"/>
      <c r="AM45" s="211">
        <v>150</v>
      </c>
    </row>
    <row r="46" spans="1:40" ht="18.600000000000001" customHeight="1" x14ac:dyDescent="0.25">
      <c r="A46" s="161">
        <v>1135</v>
      </c>
      <c r="B46" s="525"/>
      <c r="C46" s="289" t="s">
        <v>92</v>
      </c>
      <c r="D46" s="485" t="s">
        <v>18</v>
      </c>
      <c r="E46" s="74" t="s">
        <v>138</v>
      </c>
      <c r="F46" s="78">
        <v>36</v>
      </c>
      <c r="G46" s="528">
        <v>13</v>
      </c>
      <c r="H46" s="103"/>
      <c r="I46" s="614" t="s">
        <v>8</v>
      </c>
      <c r="J46" s="103"/>
      <c r="K46" s="108"/>
      <c r="L46" s="108" t="s">
        <v>9</v>
      </c>
      <c r="M46" s="108"/>
      <c r="N46" s="215" t="s">
        <v>8</v>
      </c>
      <c r="O46" s="108"/>
      <c r="P46" s="103"/>
      <c r="Q46" s="103" t="s">
        <v>9</v>
      </c>
      <c r="R46" s="108"/>
      <c r="S46" s="108" t="s">
        <v>8</v>
      </c>
      <c r="T46" s="108"/>
      <c r="U46" s="108"/>
      <c r="V46" s="108" t="s">
        <v>9</v>
      </c>
      <c r="W46" s="103"/>
      <c r="X46" s="614" t="s">
        <v>8</v>
      </c>
      <c r="Y46" s="108" t="s">
        <v>96</v>
      </c>
      <c r="Z46" s="108"/>
      <c r="AA46" s="108" t="s">
        <v>9</v>
      </c>
      <c r="AB46" s="108"/>
      <c r="AC46" s="108" t="s">
        <v>9</v>
      </c>
      <c r="AD46" s="103"/>
      <c r="AE46" s="103" t="s">
        <v>9</v>
      </c>
      <c r="AF46" s="108"/>
      <c r="AG46" s="108"/>
      <c r="AH46" s="215" t="s">
        <v>8</v>
      </c>
      <c r="AI46" s="108"/>
      <c r="AJ46" s="108"/>
      <c r="AK46" s="103" t="s">
        <v>9</v>
      </c>
      <c r="AL46" s="103"/>
      <c r="AM46" s="211">
        <v>150</v>
      </c>
    </row>
    <row r="47" spans="1:40" ht="18.600000000000001" customHeight="1" x14ac:dyDescent="0.25">
      <c r="A47" s="161"/>
      <c r="B47" s="525"/>
      <c r="C47" s="496" t="s">
        <v>108</v>
      </c>
      <c r="D47" s="486" t="s">
        <v>18</v>
      </c>
      <c r="E47" s="74" t="s">
        <v>138</v>
      </c>
      <c r="F47" s="78">
        <v>36</v>
      </c>
      <c r="G47" s="528">
        <v>13</v>
      </c>
      <c r="H47" s="103"/>
      <c r="I47" s="103" t="s">
        <v>8</v>
      </c>
      <c r="J47" s="103"/>
      <c r="K47" s="108"/>
      <c r="L47" s="108" t="s">
        <v>9</v>
      </c>
      <c r="M47" s="108"/>
      <c r="N47" s="614" t="s">
        <v>8</v>
      </c>
      <c r="O47" s="108"/>
      <c r="P47" s="103"/>
      <c r="Q47" s="103" t="s">
        <v>9</v>
      </c>
      <c r="R47" s="108"/>
      <c r="S47" s="108" t="s">
        <v>8</v>
      </c>
      <c r="T47" s="108" t="s">
        <v>96</v>
      </c>
      <c r="U47" s="108"/>
      <c r="V47" s="108" t="s">
        <v>9</v>
      </c>
      <c r="W47" s="103"/>
      <c r="X47" s="215" t="s">
        <v>8</v>
      </c>
      <c r="Y47" s="108"/>
      <c r="Z47" s="108" t="s">
        <v>9</v>
      </c>
      <c r="AA47" s="108"/>
      <c r="AB47" s="108"/>
      <c r="AC47" s="108" t="s">
        <v>9</v>
      </c>
      <c r="AD47" s="103"/>
      <c r="AE47" s="103"/>
      <c r="AF47" s="215" t="s">
        <v>9</v>
      </c>
      <c r="AG47" s="108"/>
      <c r="AH47" s="108" t="s">
        <v>8</v>
      </c>
      <c r="AI47" s="108"/>
      <c r="AJ47" s="108"/>
      <c r="AK47" s="103" t="s">
        <v>9</v>
      </c>
      <c r="AL47" s="103"/>
      <c r="AM47" s="211">
        <v>150</v>
      </c>
    </row>
    <row r="48" spans="1:40" ht="18.600000000000001" customHeight="1" x14ac:dyDescent="0.25">
      <c r="A48" s="512">
        <v>6991</v>
      </c>
      <c r="B48" s="26">
        <v>353269</v>
      </c>
      <c r="C48" s="498" t="s">
        <v>84</v>
      </c>
      <c r="D48" s="487" t="s">
        <v>39</v>
      </c>
      <c r="E48" s="74" t="s">
        <v>137</v>
      </c>
      <c r="F48" s="78">
        <v>36</v>
      </c>
      <c r="G48" s="528">
        <v>13</v>
      </c>
      <c r="H48" s="103"/>
      <c r="I48" s="215" t="s">
        <v>8</v>
      </c>
      <c r="J48" s="103"/>
      <c r="K48" s="108"/>
      <c r="L48" s="108" t="s">
        <v>9</v>
      </c>
      <c r="M48" s="108"/>
      <c r="N48" s="614" t="s">
        <v>8</v>
      </c>
      <c r="O48" s="108"/>
      <c r="P48" s="103"/>
      <c r="Q48" s="103" t="s">
        <v>9</v>
      </c>
      <c r="R48" s="108"/>
      <c r="S48" s="215" t="s">
        <v>8</v>
      </c>
      <c r="T48" s="108"/>
      <c r="U48" s="108"/>
      <c r="V48" s="108" t="s">
        <v>9</v>
      </c>
      <c r="W48" s="103"/>
      <c r="X48" s="103" t="s">
        <v>8</v>
      </c>
      <c r="Y48" s="108"/>
      <c r="Z48" s="108"/>
      <c r="AA48" s="108" t="s">
        <v>9</v>
      </c>
      <c r="AB48" s="108"/>
      <c r="AC48" s="215" t="s">
        <v>8</v>
      </c>
      <c r="AD48" s="103" t="s">
        <v>96</v>
      </c>
      <c r="AE48" s="103"/>
      <c r="AF48" s="108" t="s">
        <v>9</v>
      </c>
      <c r="AG48" s="108"/>
      <c r="AH48" s="614" t="s">
        <v>8</v>
      </c>
      <c r="AI48" s="108"/>
      <c r="AJ48" s="108"/>
      <c r="AK48" s="103" t="s">
        <v>9</v>
      </c>
      <c r="AL48" s="103"/>
      <c r="AM48" s="211">
        <v>150</v>
      </c>
    </row>
    <row r="49" spans="1:39" ht="18.600000000000001" customHeight="1" x14ac:dyDescent="0.25">
      <c r="A49" s="516">
        <v>12875</v>
      </c>
      <c r="B49" s="148"/>
      <c r="C49" s="499" t="s">
        <v>90</v>
      </c>
      <c r="D49" s="487" t="s">
        <v>39</v>
      </c>
      <c r="E49" s="74" t="s">
        <v>137</v>
      </c>
      <c r="F49" s="78">
        <v>36</v>
      </c>
      <c r="G49" s="528">
        <v>13</v>
      </c>
      <c r="H49" s="103"/>
      <c r="I49" s="614" t="s">
        <v>8</v>
      </c>
      <c r="J49" s="103"/>
      <c r="K49" s="108"/>
      <c r="L49" s="108" t="s">
        <v>9</v>
      </c>
      <c r="M49" s="108"/>
      <c r="N49" s="215" t="s">
        <v>8</v>
      </c>
      <c r="O49" s="108"/>
      <c r="P49" s="103"/>
      <c r="Q49" s="103" t="s">
        <v>9</v>
      </c>
      <c r="R49" s="108"/>
      <c r="S49" s="108" t="s">
        <v>8</v>
      </c>
      <c r="T49" s="108"/>
      <c r="U49" s="108"/>
      <c r="V49" s="108" t="s">
        <v>9</v>
      </c>
      <c r="W49" s="103"/>
      <c r="X49" s="103" t="s">
        <v>8</v>
      </c>
      <c r="Y49" s="108" t="s">
        <v>96</v>
      </c>
      <c r="Z49" s="108"/>
      <c r="AA49" s="215" t="s">
        <v>9</v>
      </c>
      <c r="AB49" s="108"/>
      <c r="AC49" s="108" t="s">
        <v>8</v>
      </c>
      <c r="AD49" s="103"/>
      <c r="AE49" s="103"/>
      <c r="AF49" s="614" t="s">
        <v>9</v>
      </c>
      <c r="AG49" s="108"/>
      <c r="AH49" s="108" t="s">
        <v>8</v>
      </c>
      <c r="AI49" s="108"/>
      <c r="AJ49" s="108"/>
      <c r="AK49" s="614" t="s">
        <v>9</v>
      </c>
      <c r="AL49" s="103"/>
      <c r="AM49" s="211">
        <v>150</v>
      </c>
    </row>
    <row r="50" spans="1:39" ht="18.600000000000001" customHeight="1" x14ac:dyDescent="0.25">
      <c r="A50" s="516">
        <v>1139</v>
      </c>
      <c r="B50" s="148"/>
      <c r="C50" s="499" t="s">
        <v>93</v>
      </c>
      <c r="D50" s="487" t="s">
        <v>39</v>
      </c>
      <c r="E50" s="74" t="s">
        <v>137</v>
      </c>
      <c r="F50" s="78">
        <v>36</v>
      </c>
      <c r="G50" s="528">
        <v>13</v>
      </c>
      <c r="H50" s="103"/>
      <c r="I50" s="103" t="s">
        <v>8</v>
      </c>
      <c r="J50" s="103" t="s">
        <v>96</v>
      </c>
      <c r="K50" s="108"/>
      <c r="L50" s="215" t="s">
        <v>9</v>
      </c>
      <c r="M50" s="108"/>
      <c r="N50" s="108" t="s">
        <v>8</v>
      </c>
      <c r="O50" s="108"/>
      <c r="P50" s="103"/>
      <c r="Q50" s="614" t="s">
        <v>9</v>
      </c>
      <c r="R50" s="108"/>
      <c r="S50" s="108"/>
      <c r="T50" s="108" t="s">
        <v>9</v>
      </c>
      <c r="U50" s="108"/>
      <c r="V50" s="108" t="s">
        <v>9</v>
      </c>
      <c r="W50" s="103"/>
      <c r="X50" s="215" t="s">
        <v>8</v>
      </c>
      <c r="Y50" s="108"/>
      <c r="Z50" s="108"/>
      <c r="AA50" s="614" t="s">
        <v>9</v>
      </c>
      <c r="AB50" s="108"/>
      <c r="AC50" s="108" t="s">
        <v>8</v>
      </c>
      <c r="AD50" s="103"/>
      <c r="AE50" s="103"/>
      <c r="AF50" s="108" t="s">
        <v>9</v>
      </c>
      <c r="AG50" s="108"/>
      <c r="AH50" s="215" t="s">
        <v>8</v>
      </c>
      <c r="AI50" s="108"/>
      <c r="AJ50" s="108"/>
      <c r="AK50" s="103" t="s">
        <v>9</v>
      </c>
      <c r="AL50" s="103"/>
      <c r="AM50" s="211">
        <v>150</v>
      </c>
    </row>
    <row r="51" spans="1:39" ht="18.600000000000001" customHeight="1" x14ac:dyDescent="0.25">
      <c r="A51" s="20"/>
      <c r="B51" s="257"/>
      <c r="C51" s="500" t="s">
        <v>106</v>
      </c>
      <c r="D51" s="487" t="s">
        <v>39</v>
      </c>
      <c r="E51" s="74" t="s">
        <v>137</v>
      </c>
      <c r="F51" s="78">
        <v>36</v>
      </c>
      <c r="G51" s="528">
        <v>13</v>
      </c>
      <c r="H51" s="103"/>
      <c r="I51" s="103" t="s">
        <v>8</v>
      </c>
      <c r="J51" s="103"/>
      <c r="K51" s="108"/>
      <c r="L51" s="108" t="s">
        <v>9</v>
      </c>
      <c r="M51" s="108"/>
      <c r="N51" s="108" t="s">
        <v>8</v>
      </c>
      <c r="O51" s="108" t="s">
        <v>96</v>
      </c>
      <c r="P51" s="103"/>
      <c r="Q51" s="215" t="s">
        <v>9</v>
      </c>
      <c r="R51" s="108"/>
      <c r="S51" s="108" t="s">
        <v>8</v>
      </c>
      <c r="T51" s="108"/>
      <c r="U51" s="108"/>
      <c r="V51" s="108" t="s">
        <v>9</v>
      </c>
      <c r="W51" s="103"/>
      <c r="X51" s="614" t="s">
        <v>8</v>
      </c>
      <c r="Y51" s="108"/>
      <c r="Z51" s="108"/>
      <c r="AA51" s="108" t="s">
        <v>9</v>
      </c>
      <c r="AB51" s="108"/>
      <c r="AC51" s="108" t="s">
        <v>8</v>
      </c>
      <c r="AD51" s="103"/>
      <c r="AE51" s="103"/>
      <c r="AF51" s="215" t="s">
        <v>9</v>
      </c>
      <c r="AG51" s="108"/>
      <c r="AH51" s="108" t="s">
        <v>8</v>
      </c>
      <c r="AI51" s="108"/>
      <c r="AJ51" s="108"/>
      <c r="AK51" s="103" t="s">
        <v>9</v>
      </c>
      <c r="AL51" s="103"/>
      <c r="AM51" s="211">
        <v>150</v>
      </c>
    </row>
    <row r="52" spans="1:39" ht="18.600000000000001" customHeight="1" x14ac:dyDescent="0.25">
      <c r="A52" s="20"/>
      <c r="B52" s="257"/>
      <c r="C52" s="500" t="s">
        <v>132</v>
      </c>
      <c r="D52" s="487" t="s">
        <v>39</v>
      </c>
      <c r="E52" s="74" t="s">
        <v>137</v>
      </c>
      <c r="F52" s="78">
        <v>36</v>
      </c>
      <c r="G52" s="528">
        <v>13</v>
      </c>
      <c r="H52" s="103"/>
      <c r="I52" s="103"/>
      <c r="J52" s="614" t="s">
        <v>9</v>
      </c>
      <c r="K52" s="108"/>
      <c r="L52" s="108" t="s">
        <v>9</v>
      </c>
      <c r="M52" s="108"/>
      <c r="N52" s="108"/>
      <c r="O52" s="108" t="s">
        <v>9</v>
      </c>
      <c r="P52" s="103"/>
      <c r="Q52" s="103" t="s">
        <v>9</v>
      </c>
      <c r="R52" s="108"/>
      <c r="S52" s="614" t="s">
        <v>8</v>
      </c>
      <c r="T52" s="108"/>
      <c r="U52" s="215" t="s">
        <v>8</v>
      </c>
      <c r="V52" s="108" t="s">
        <v>96</v>
      </c>
      <c r="W52" s="103"/>
      <c r="X52" s="103" t="s">
        <v>9</v>
      </c>
      <c r="Y52" s="108"/>
      <c r="Z52" s="108"/>
      <c r="AA52" s="108" t="s">
        <v>9</v>
      </c>
      <c r="AB52" s="108"/>
      <c r="AC52" s="614" t="s">
        <v>8</v>
      </c>
      <c r="AD52" s="103"/>
      <c r="AE52" s="103"/>
      <c r="AF52" s="108" t="s">
        <v>9</v>
      </c>
      <c r="AG52" s="108"/>
      <c r="AH52" s="108" t="s">
        <v>8</v>
      </c>
      <c r="AI52" s="108"/>
      <c r="AJ52" s="108"/>
      <c r="AK52" s="215" t="s">
        <v>9</v>
      </c>
      <c r="AL52" s="103"/>
      <c r="AM52" s="211">
        <v>150</v>
      </c>
    </row>
    <row r="53" spans="1:39" ht="18.600000000000001" customHeight="1" x14ac:dyDescent="0.25">
      <c r="A53" s="20"/>
      <c r="B53" s="257"/>
      <c r="C53" s="500" t="s">
        <v>107</v>
      </c>
      <c r="D53" s="487" t="s">
        <v>39</v>
      </c>
      <c r="E53" s="74" t="s">
        <v>137</v>
      </c>
      <c r="F53" s="78">
        <v>36</v>
      </c>
      <c r="G53" s="528">
        <v>13</v>
      </c>
      <c r="H53" s="103"/>
      <c r="I53" s="103"/>
      <c r="J53" s="103" t="s">
        <v>9</v>
      </c>
      <c r="K53" s="108"/>
      <c r="L53" s="215" t="s">
        <v>8</v>
      </c>
      <c r="M53" s="108"/>
      <c r="N53" s="108"/>
      <c r="O53" s="108"/>
      <c r="P53" s="103" t="s">
        <v>8</v>
      </c>
      <c r="Q53" s="103"/>
      <c r="R53" s="108" t="s">
        <v>8</v>
      </c>
      <c r="S53" s="108"/>
      <c r="T53" s="215" t="s">
        <v>9</v>
      </c>
      <c r="U53" s="108"/>
      <c r="V53" s="108" t="s">
        <v>9</v>
      </c>
      <c r="W53" s="103"/>
      <c r="X53" s="103" t="s">
        <v>8</v>
      </c>
      <c r="Y53" s="108"/>
      <c r="Z53" s="108"/>
      <c r="AA53" s="108" t="s">
        <v>9</v>
      </c>
      <c r="AB53" s="108"/>
      <c r="AC53" s="108"/>
      <c r="AD53" s="614" t="s">
        <v>9</v>
      </c>
      <c r="AE53" s="103"/>
      <c r="AF53" s="108" t="s">
        <v>9</v>
      </c>
      <c r="AG53" s="108"/>
      <c r="AH53" s="108" t="s">
        <v>8</v>
      </c>
      <c r="AI53" s="108" t="s">
        <v>96</v>
      </c>
      <c r="AJ53" s="108"/>
      <c r="AK53" s="103"/>
      <c r="AL53" s="215" t="s">
        <v>9</v>
      </c>
      <c r="AM53" s="211">
        <v>150</v>
      </c>
    </row>
    <row r="54" spans="1:39" ht="18.600000000000001" customHeight="1" x14ac:dyDescent="0.25">
      <c r="A54" s="161"/>
      <c r="B54" s="525"/>
      <c r="C54" s="496" t="s">
        <v>110</v>
      </c>
      <c r="D54" s="485" t="s">
        <v>18</v>
      </c>
      <c r="E54" s="74" t="s">
        <v>138</v>
      </c>
      <c r="F54" s="78">
        <v>36</v>
      </c>
      <c r="G54" s="528">
        <v>13</v>
      </c>
      <c r="H54" s="103"/>
      <c r="I54" s="103"/>
      <c r="J54" s="215" t="s">
        <v>9</v>
      </c>
      <c r="K54" s="108"/>
      <c r="L54" s="108" t="s">
        <v>8</v>
      </c>
      <c r="M54" s="108"/>
      <c r="N54" s="108"/>
      <c r="O54" s="614" t="s">
        <v>9</v>
      </c>
      <c r="P54" s="103"/>
      <c r="Q54" s="103" t="s">
        <v>8</v>
      </c>
      <c r="R54" s="108"/>
      <c r="S54" s="108"/>
      <c r="T54" s="108" t="s">
        <v>9</v>
      </c>
      <c r="U54" s="108"/>
      <c r="V54" s="215" t="s">
        <v>8</v>
      </c>
      <c r="W54" s="103"/>
      <c r="X54" s="103"/>
      <c r="Y54" s="108" t="s">
        <v>9</v>
      </c>
      <c r="Z54" s="108"/>
      <c r="AA54" s="108" t="s">
        <v>8</v>
      </c>
      <c r="AB54" s="108"/>
      <c r="AC54" s="108"/>
      <c r="AD54" s="103" t="s">
        <v>9</v>
      </c>
      <c r="AE54" s="103"/>
      <c r="AF54" s="614" t="s">
        <v>8</v>
      </c>
      <c r="AG54" s="108"/>
      <c r="AH54" s="108" t="s">
        <v>9</v>
      </c>
      <c r="AI54" s="108"/>
      <c r="AJ54" s="108"/>
      <c r="AK54" s="103" t="s">
        <v>8</v>
      </c>
      <c r="AL54" s="103" t="s">
        <v>96</v>
      </c>
      <c r="AM54" s="211">
        <v>150</v>
      </c>
    </row>
    <row r="55" spans="1:39" ht="18.600000000000001" customHeight="1" x14ac:dyDescent="0.25">
      <c r="A55" s="161"/>
      <c r="B55" s="525"/>
      <c r="C55" s="496" t="s">
        <v>109</v>
      </c>
      <c r="D55" s="485" t="s">
        <v>18</v>
      </c>
      <c r="E55" s="74" t="s">
        <v>138</v>
      </c>
      <c r="F55" s="78">
        <v>36</v>
      </c>
      <c r="G55" s="528">
        <v>13</v>
      </c>
      <c r="H55" s="103"/>
      <c r="I55" s="103"/>
      <c r="J55" s="614" t="s">
        <v>9</v>
      </c>
      <c r="K55" s="108"/>
      <c r="L55" s="108" t="s">
        <v>8</v>
      </c>
      <c r="M55" s="108"/>
      <c r="N55" s="108"/>
      <c r="O55" s="215" t="s">
        <v>9</v>
      </c>
      <c r="P55" s="103"/>
      <c r="Q55" s="103" t="s">
        <v>8</v>
      </c>
      <c r="R55" s="108"/>
      <c r="S55" s="108"/>
      <c r="T55" s="108" t="s">
        <v>9</v>
      </c>
      <c r="U55" s="108"/>
      <c r="V55" s="614" t="s">
        <v>8</v>
      </c>
      <c r="W55" s="103"/>
      <c r="X55" s="103"/>
      <c r="Y55" s="108" t="s">
        <v>9</v>
      </c>
      <c r="Z55" s="108"/>
      <c r="AA55" s="108" t="s">
        <v>8</v>
      </c>
      <c r="AB55" s="108"/>
      <c r="AC55" s="108"/>
      <c r="AD55" s="103" t="s">
        <v>9</v>
      </c>
      <c r="AE55" s="103"/>
      <c r="AF55" s="215" t="s">
        <v>8</v>
      </c>
      <c r="AG55" s="108"/>
      <c r="AH55" s="108"/>
      <c r="AI55" s="108" t="s">
        <v>9</v>
      </c>
      <c r="AJ55" s="108"/>
      <c r="AK55" s="103" t="s">
        <v>8</v>
      </c>
      <c r="AL55" s="103" t="s">
        <v>96</v>
      </c>
      <c r="AM55" s="211">
        <v>150</v>
      </c>
    </row>
    <row r="56" spans="1:39" ht="18.600000000000001" customHeight="1" x14ac:dyDescent="0.25">
      <c r="A56" s="161"/>
      <c r="B56" s="525"/>
      <c r="C56" s="496" t="s">
        <v>111</v>
      </c>
      <c r="D56" s="485" t="s">
        <v>18</v>
      </c>
      <c r="E56" s="74" t="s">
        <v>138</v>
      </c>
      <c r="F56" s="78">
        <v>36</v>
      </c>
      <c r="G56" s="528">
        <v>13</v>
      </c>
      <c r="H56" s="103"/>
      <c r="I56" s="103"/>
      <c r="J56" s="103" t="s">
        <v>9</v>
      </c>
      <c r="K56" s="108"/>
      <c r="L56" s="614" t="s">
        <v>8</v>
      </c>
      <c r="M56" s="108"/>
      <c r="N56" s="108"/>
      <c r="O56" s="108" t="s">
        <v>9</v>
      </c>
      <c r="P56" s="103"/>
      <c r="Q56" s="103" t="s">
        <v>8</v>
      </c>
      <c r="R56" s="108"/>
      <c r="S56" s="108"/>
      <c r="T56" s="614" t="s">
        <v>9</v>
      </c>
      <c r="U56" s="108"/>
      <c r="V56" s="108" t="s">
        <v>8</v>
      </c>
      <c r="W56" s="103"/>
      <c r="X56" s="103"/>
      <c r="Y56" s="108" t="s">
        <v>9</v>
      </c>
      <c r="Z56" s="108"/>
      <c r="AA56" s="108" t="s">
        <v>8</v>
      </c>
      <c r="AB56" s="108"/>
      <c r="AC56" s="108"/>
      <c r="AD56" s="103" t="s">
        <v>9</v>
      </c>
      <c r="AE56" s="103"/>
      <c r="AF56" s="108" t="s">
        <v>8</v>
      </c>
      <c r="AG56" s="108"/>
      <c r="AH56" s="108"/>
      <c r="AI56" s="215" t="s">
        <v>9</v>
      </c>
      <c r="AJ56" s="108"/>
      <c r="AK56" s="614" t="s">
        <v>8</v>
      </c>
      <c r="AL56" s="103" t="s">
        <v>96</v>
      </c>
      <c r="AM56" s="211">
        <v>150</v>
      </c>
    </row>
    <row r="57" spans="1:39" ht="18.600000000000001" customHeight="1" x14ac:dyDescent="0.25">
      <c r="A57" s="161"/>
      <c r="B57" s="525"/>
      <c r="C57" s="496" t="s">
        <v>127</v>
      </c>
      <c r="D57" s="485" t="s">
        <v>18</v>
      </c>
      <c r="E57" s="74" t="s">
        <v>138</v>
      </c>
      <c r="F57" s="78">
        <v>36</v>
      </c>
      <c r="G57" s="528">
        <v>13</v>
      </c>
      <c r="H57" s="103"/>
      <c r="I57" s="103"/>
      <c r="J57" s="103" t="s">
        <v>9</v>
      </c>
      <c r="K57" s="108"/>
      <c r="L57" s="215" t="s">
        <v>8</v>
      </c>
      <c r="M57" s="108"/>
      <c r="N57" s="108"/>
      <c r="O57" s="108" t="s">
        <v>9</v>
      </c>
      <c r="P57" s="103"/>
      <c r="Q57" s="103" t="s">
        <v>8</v>
      </c>
      <c r="R57" s="108"/>
      <c r="S57" s="108"/>
      <c r="T57" s="108" t="s">
        <v>9</v>
      </c>
      <c r="U57" s="108"/>
      <c r="V57" s="108" t="s">
        <v>8</v>
      </c>
      <c r="W57" s="103"/>
      <c r="X57" s="103"/>
      <c r="Y57" s="108" t="s">
        <v>9</v>
      </c>
      <c r="Z57" s="108"/>
      <c r="AA57" s="614" t="s">
        <v>8</v>
      </c>
      <c r="AB57" s="108"/>
      <c r="AC57" s="108"/>
      <c r="AD57" s="103" t="s">
        <v>9</v>
      </c>
      <c r="AE57" s="103"/>
      <c r="AF57" s="108" t="s">
        <v>8</v>
      </c>
      <c r="AG57" s="108"/>
      <c r="AH57" s="108"/>
      <c r="AI57" s="215" t="s">
        <v>9</v>
      </c>
      <c r="AJ57" s="108"/>
      <c r="AK57" s="103" t="s">
        <v>8</v>
      </c>
      <c r="AL57" s="103" t="s">
        <v>96</v>
      </c>
      <c r="AM57" s="211">
        <v>150</v>
      </c>
    </row>
    <row r="58" spans="1:39" ht="18.600000000000001" customHeight="1" x14ac:dyDescent="0.25">
      <c r="A58" s="20"/>
      <c r="B58" s="257"/>
      <c r="C58" s="500" t="s">
        <v>124</v>
      </c>
      <c r="D58" s="487" t="s">
        <v>39</v>
      </c>
      <c r="E58" s="74" t="s">
        <v>138</v>
      </c>
      <c r="F58" s="78">
        <v>36</v>
      </c>
      <c r="G58" s="528">
        <v>13</v>
      </c>
      <c r="H58" s="103"/>
      <c r="I58" s="103"/>
      <c r="J58" s="103" t="s">
        <v>9</v>
      </c>
      <c r="K58" s="108"/>
      <c r="L58" s="108" t="s">
        <v>8</v>
      </c>
      <c r="M58" s="108"/>
      <c r="N58" s="108"/>
      <c r="O58" s="108" t="s">
        <v>9</v>
      </c>
      <c r="P58" s="103"/>
      <c r="Q58" s="215" t="s">
        <v>8</v>
      </c>
      <c r="R58" s="108"/>
      <c r="S58" s="108"/>
      <c r="T58" s="108" t="s">
        <v>9</v>
      </c>
      <c r="U58" s="108"/>
      <c r="V58" s="108" t="s">
        <v>8</v>
      </c>
      <c r="W58" s="103"/>
      <c r="X58" s="103"/>
      <c r="Y58" s="614" t="s">
        <v>9</v>
      </c>
      <c r="Z58" s="108"/>
      <c r="AA58" s="108" t="s">
        <v>8</v>
      </c>
      <c r="AB58" s="108"/>
      <c r="AC58" s="108"/>
      <c r="AD58" s="103" t="s">
        <v>9</v>
      </c>
      <c r="AE58" s="103"/>
      <c r="AF58" s="108" t="s">
        <v>8</v>
      </c>
      <c r="AG58" s="108" t="s">
        <v>96</v>
      </c>
      <c r="AH58" s="108"/>
      <c r="AI58" s="108" t="s">
        <v>9</v>
      </c>
      <c r="AJ58" s="108"/>
      <c r="AK58" s="614" t="s">
        <v>8</v>
      </c>
      <c r="AL58" s="103"/>
      <c r="AM58" s="211">
        <v>150</v>
      </c>
    </row>
    <row r="59" spans="1:39" ht="18.600000000000001" customHeight="1" x14ac:dyDescent="0.25">
      <c r="A59" s="517">
        <v>1142</v>
      </c>
      <c r="B59" s="28">
        <v>1817180</v>
      </c>
      <c r="C59" s="501" t="s">
        <v>98</v>
      </c>
      <c r="D59" s="487" t="s">
        <v>39</v>
      </c>
      <c r="E59" s="74" t="s">
        <v>138</v>
      </c>
      <c r="F59" s="78">
        <v>36</v>
      </c>
      <c r="G59" s="528">
        <v>13</v>
      </c>
      <c r="H59" s="103"/>
      <c r="I59" s="103"/>
      <c r="J59" s="103" t="s">
        <v>9</v>
      </c>
      <c r="K59" s="108"/>
      <c r="L59" s="108" t="s">
        <v>8</v>
      </c>
      <c r="M59" s="108"/>
      <c r="N59" s="108"/>
      <c r="O59" s="108" t="s">
        <v>9</v>
      </c>
      <c r="P59" s="103"/>
      <c r="Q59" s="614" t="s">
        <v>8</v>
      </c>
      <c r="R59" s="108"/>
      <c r="S59" s="108"/>
      <c r="T59" s="108" t="s">
        <v>9</v>
      </c>
      <c r="U59" s="108"/>
      <c r="V59" s="108" t="s">
        <v>8</v>
      </c>
      <c r="W59" s="103"/>
      <c r="X59" s="103"/>
      <c r="Y59" s="215" t="s">
        <v>9</v>
      </c>
      <c r="Z59" s="108"/>
      <c r="AA59" s="108" t="s">
        <v>8</v>
      </c>
      <c r="AB59" s="108" t="s">
        <v>96</v>
      </c>
      <c r="AC59" s="108"/>
      <c r="AD59" s="103" t="s">
        <v>9</v>
      </c>
      <c r="AE59" s="103"/>
      <c r="AF59" s="108" t="s">
        <v>8</v>
      </c>
      <c r="AG59" s="108"/>
      <c r="AH59" s="108"/>
      <c r="AI59" s="108" t="s">
        <v>9</v>
      </c>
      <c r="AJ59" s="108"/>
      <c r="AK59" s="215" t="s">
        <v>8</v>
      </c>
      <c r="AL59" s="103"/>
      <c r="AM59" s="211">
        <v>150</v>
      </c>
    </row>
    <row r="60" spans="1:39" ht="18.600000000000001" customHeight="1" x14ac:dyDescent="0.25">
      <c r="A60" s="161">
        <v>12348</v>
      </c>
      <c r="B60" s="525">
        <v>1419110</v>
      </c>
      <c r="C60" s="289" t="s">
        <v>95</v>
      </c>
      <c r="D60" s="157" t="s">
        <v>18</v>
      </c>
      <c r="E60" s="74" t="s">
        <v>137</v>
      </c>
      <c r="F60" s="78">
        <v>36</v>
      </c>
      <c r="G60" s="528">
        <v>13</v>
      </c>
      <c r="H60" s="106"/>
      <c r="I60" s="103"/>
      <c r="J60" s="103" t="s">
        <v>9</v>
      </c>
      <c r="K60" s="108"/>
      <c r="L60" s="614" t="s">
        <v>9</v>
      </c>
      <c r="M60" s="108"/>
      <c r="N60" s="108"/>
      <c r="O60" s="108" t="s">
        <v>8</v>
      </c>
      <c r="P60" s="103"/>
      <c r="Q60" s="108" t="s">
        <v>8</v>
      </c>
      <c r="R60" s="108" t="s">
        <v>96</v>
      </c>
      <c r="S60" s="108"/>
      <c r="T60" s="215" t="s">
        <v>9</v>
      </c>
      <c r="U60" s="108"/>
      <c r="V60" s="614" t="s">
        <v>8</v>
      </c>
      <c r="W60" s="103"/>
      <c r="X60" s="103"/>
      <c r="Y60" s="108" t="s">
        <v>9</v>
      </c>
      <c r="Z60" s="108"/>
      <c r="AA60" s="215" t="s">
        <v>8</v>
      </c>
      <c r="AB60" s="108"/>
      <c r="AC60" s="108"/>
      <c r="AD60" s="614" t="s">
        <v>8</v>
      </c>
      <c r="AE60" s="103"/>
      <c r="AF60" s="108" t="s">
        <v>8</v>
      </c>
      <c r="AG60" s="108"/>
      <c r="AH60" s="108"/>
      <c r="AI60" s="108" t="s">
        <v>9</v>
      </c>
      <c r="AJ60" s="108"/>
      <c r="AK60" s="103" t="s">
        <v>8</v>
      </c>
      <c r="AL60" s="103"/>
      <c r="AM60" s="211">
        <v>150</v>
      </c>
    </row>
    <row r="61" spans="1:39" ht="16.2" customHeight="1" thickBot="1" x14ac:dyDescent="0.3">
      <c r="A61" s="163"/>
      <c r="B61" s="526"/>
      <c r="C61" s="556" t="s">
        <v>0</v>
      </c>
      <c r="D61" s="556"/>
      <c r="E61" s="556"/>
      <c r="F61" s="556"/>
      <c r="G61" s="556"/>
      <c r="H61" s="556"/>
      <c r="I61" s="556"/>
      <c r="J61" s="556"/>
      <c r="K61" s="556"/>
      <c r="L61" s="556"/>
      <c r="M61" s="556"/>
      <c r="N61" s="627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2"/>
      <c r="AB61" s="482"/>
      <c r="AC61" s="482"/>
      <c r="AD61" s="482"/>
      <c r="AE61" s="482"/>
      <c r="AF61" s="482"/>
      <c r="AG61" s="482"/>
      <c r="AH61" s="482"/>
      <c r="AI61" s="482"/>
      <c r="AJ61" s="482"/>
      <c r="AK61" s="482"/>
      <c r="AL61" s="482"/>
    </row>
    <row r="62" spans="1:39" ht="16.2" customHeight="1" thickBot="1" x14ac:dyDescent="0.3">
      <c r="A62" s="518"/>
      <c r="B62" s="483"/>
      <c r="C62" s="502"/>
      <c r="D62" s="483"/>
      <c r="E62" s="504"/>
      <c r="F62" s="483"/>
      <c r="G62" s="483"/>
      <c r="H62" s="483"/>
      <c r="I62" s="483"/>
      <c r="J62" s="483"/>
      <c r="K62" s="483"/>
      <c r="L62" s="483"/>
      <c r="M62" s="483"/>
      <c r="N62" s="628"/>
      <c r="O62" s="518" t="s">
        <v>140</v>
      </c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3"/>
      <c r="AB62" s="483"/>
      <c r="AC62" s="483"/>
      <c r="AD62" s="483"/>
      <c r="AE62" s="483"/>
      <c r="AF62" s="483"/>
      <c r="AG62" s="483"/>
      <c r="AH62" s="483"/>
      <c r="AI62" s="483"/>
      <c r="AJ62" s="483"/>
      <c r="AK62" s="483"/>
    </row>
    <row r="63" spans="1:39" ht="16.2" customHeight="1" thickBot="1" x14ac:dyDescent="0.3">
      <c r="A63" s="518"/>
      <c r="B63" s="483"/>
      <c r="C63" s="502"/>
      <c r="D63" s="483"/>
      <c r="E63" s="504"/>
      <c r="F63" s="483"/>
      <c r="G63" s="483"/>
      <c r="H63" s="483"/>
      <c r="I63" s="483"/>
      <c r="J63" s="483"/>
      <c r="K63" s="483"/>
      <c r="L63" s="483"/>
      <c r="M63" s="483"/>
      <c r="N63" s="629"/>
      <c r="O63" s="518" t="s">
        <v>141</v>
      </c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3"/>
      <c r="AB63" s="483"/>
      <c r="AC63" s="483"/>
      <c r="AD63" s="483"/>
      <c r="AE63" s="483"/>
      <c r="AF63" s="483"/>
      <c r="AG63" s="483"/>
      <c r="AH63" s="483"/>
      <c r="AI63" s="483"/>
      <c r="AJ63" s="483"/>
      <c r="AK63" s="483"/>
    </row>
    <row r="64" spans="1:39" ht="16.2" customHeight="1" x14ac:dyDescent="0.25"/>
  </sheetData>
  <mergeCells count="7">
    <mergeCell ref="C61:N61"/>
    <mergeCell ref="D1:AH1"/>
    <mergeCell ref="A2:A3"/>
    <mergeCell ref="C2:F3"/>
    <mergeCell ref="H2:K2"/>
    <mergeCell ref="L2:P2"/>
    <mergeCell ref="Q2:AL2"/>
  </mergeCells>
  <phoneticPr fontId="45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1 ANDAR JANEIRO</vt:lpstr>
      <vt:lpstr>TERREO 1 JANEIRO</vt:lpstr>
      <vt:lpstr>TERREO 1 (FEV)</vt:lpstr>
      <vt:lpstr>1 ANDAR (FEV)</vt:lpstr>
      <vt:lpstr>TERREO (MARÇO)</vt:lpstr>
      <vt:lpstr>1 ANDAR (MARÇO)</vt:lpstr>
      <vt:lpstr>TERREO (ABRIL)</vt:lpstr>
      <vt:lpstr>1 ANDAR (ABRIL)</vt:lpstr>
      <vt:lpstr>MAIO UNIFICADO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Rafaela Farini</cp:lastModifiedBy>
  <cp:lastPrinted>2026-04-09T17:31:13Z</cp:lastPrinted>
  <dcterms:created xsi:type="dcterms:W3CDTF">2025-12-22T23:03:32Z</dcterms:created>
  <dcterms:modified xsi:type="dcterms:W3CDTF">2026-04-10T20:19:04Z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LastSaved">
    <vt:filetime>2025-12-22T00:00:00Z</vt:filetime>
  </property>
</Properties>
</file>